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6193" documentId="13_ncr:1_{D5E1776F-B224-4599-B10D-B7CDAA083427}" xr6:coauthVersionLast="47" xr6:coauthVersionMax="47" xr10:uidLastSave="{8F903F19-428D-45E9-8144-D6CA7D03794E}"/>
  <bookViews>
    <workbookView xWindow="57480" yWindow="-120" windowWidth="25440" windowHeight="15270" activeTab="5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5" hidden="1">Fish_data!$A$1:$U$2776</definedName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38" i="2" l="1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666" i="2"/>
  <c r="B42" i="5"/>
  <c r="B2614" i="2"/>
  <c r="B2615" i="2"/>
  <c r="B2616" i="2"/>
  <c r="B2617" i="2"/>
  <c r="B2618" i="2"/>
  <c r="B2619" i="2"/>
  <c r="B2612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1" i="2"/>
  <c r="T2612" i="2"/>
  <c r="T2613" i="2"/>
  <c r="O2550" i="2"/>
  <c r="B41" i="5"/>
  <c r="B40" i="5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3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727" i="2"/>
  <c r="B2728" i="2"/>
  <c r="B2729" i="2"/>
  <c r="B2730" i="2"/>
  <c r="B2731" i="2"/>
  <c r="B2732" i="2"/>
  <c r="B2733" i="2"/>
  <c r="B2734" i="2"/>
  <c r="B2735" i="2"/>
  <c r="B2736" i="2"/>
  <c r="B2737" i="2"/>
  <c r="B2480" i="2"/>
  <c r="F421" i="7"/>
  <c r="E421" i="7"/>
  <c r="B421" i="7"/>
  <c r="F420" i="7"/>
  <c r="E420" i="7"/>
  <c r="B420" i="7"/>
  <c r="F419" i="7"/>
  <c r="E419" i="7"/>
  <c r="B419" i="7"/>
  <c r="F418" i="7"/>
  <c r="E418" i="7"/>
  <c r="B418" i="7"/>
  <c r="F417" i="7"/>
  <c r="E417" i="7"/>
  <c r="B417" i="7"/>
  <c r="F416" i="7"/>
  <c r="E416" i="7"/>
  <c r="B416" i="7"/>
  <c r="F415" i="7"/>
  <c r="E415" i="7"/>
  <c r="B415" i="7"/>
  <c r="F414" i="7"/>
  <c r="E414" i="7"/>
  <c r="B414" i="7"/>
  <c r="F413" i="7"/>
  <c r="E413" i="7"/>
  <c r="B413" i="7"/>
  <c r="F412" i="7"/>
  <c r="E412" i="7"/>
  <c r="B412" i="7"/>
  <c r="F411" i="7"/>
  <c r="E411" i="7"/>
  <c r="B411" i="7"/>
  <c r="F410" i="7"/>
  <c r="E410" i="7"/>
  <c r="B410" i="7"/>
  <c r="F409" i="7"/>
  <c r="E409" i="7"/>
  <c r="B409" i="7"/>
  <c r="F408" i="7"/>
  <c r="E408" i="7"/>
  <c r="B408" i="7"/>
  <c r="F407" i="7"/>
  <c r="E407" i="7"/>
  <c r="B407" i="7"/>
  <c r="F406" i="7"/>
  <c r="E406" i="7"/>
  <c r="B406" i="7"/>
  <c r="F405" i="7"/>
  <c r="E405" i="7"/>
  <c r="B405" i="7"/>
  <c r="F404" i="7"/>
  <c r="E404" i="7"/>
  <c r="B404" i="7"/>
  <c r="F403" i="7"/>
  <c r="E403" i="7"/>
  <c r="B403" i="7"/>
  <c r="F402" i="7"/>
  <c r="E402" i="7"/>
  <c r="B402" i="7"/>
  <c r="F401" i="7"/>
  <c r="E401" i="7"/>
  <c r="B401" i="7"/>
  <c r="F400" i="7"/>
  <c r="E400" i="7"/>
  <c r="B400" i="7"/>
  <c r="F399" i="7"/>
  <c r="E399" i="7"/>
  <c r="B399" i="7"/>
  <c r="F398" i="7"/>
  <c r="E398" i="7"/>
  <c r="B398" i="7"/>
  <c r="F397" i="7"/>
  <c r="E397" i="7"/>
  <c r="B397" i="7"/>
  <c r="F396" i="7"/>
  <c r="E396" i="7"/>
  <c r="B396" i="7"/>
  <c r="F395" i="7"/>
  <c r="E395" i="7"/>
  <c r="B395" i="7"/>
  <c r="F394" i="7"/>
  <c r="E394" i="7"/>
  <c r="B394" i="7"/>
  <c r="F393" i="7"/>
  <c r="E393" i="7"/>
  <c r="B393" i="7"/>
  <c r="F392" i="7"/>
  <c r="E392" i="7"/>
  <c r="B392" i="7"/>
  <c r="F391" i="7"/>
  <c r="E391" i="7"/>
  <c r="B391" i="7"/>
  <c r="F390" i="7"/>
  <c r="E390" i="7"/>
  <c r="B390" i="7"/>
  <c r="F389" i="7"/>
  <c r="E389" i="7"/>
  <c r="B389" i="7"/>
  <c r="F388" i="7"/>
  <c r="E388" i="7"/>
  <c r="B388" i="7"/>
  <c r="F387" i="7"/>
  <c r="E387" i="7"/>
  <c r="B387" i="7"/>
  <c r="F386" i="7"/>
  <c r="E386" i="7"/>
  <c r="B386" i="7"/>
  <c r="F385" i="7"/>
  <c r="E385" i="7"/>
  <c r="B385" i="7"/>
  <c r="F384" i="7"/>
  <c r="E384" i="7"/>
  <c r="B384" i="7"/>
  <c r="F383" i="7"/>
  <c r="E383" i="7"/>
  <c r="B383" i="7"/>
  <c r="F382" i="7"/>
  <c r="E382" i="7"/>
  <c r="B382" i="7"/>
  <c r="F381" i="7"/>
  <c r="E381" i="7"/>
  <c r="B381" i="7"/>
  <c r="F380" i="7"/>
  <c r="E380" i="7"/>
  <c r="B380" i="7"/>
  <c r="F379" i="7"/>
  <c r="E379" i="7"/>
  <c r="B379" i="7"/>
  <c r="F378" i="7"/>
  <c r="E378" i="7"/>
  <c r="B378" i="7"/>
  <c r="F377" i="7"/>
  <c r="E377" i="7"/>
  <c r="B377" i="7"/>
  <c r="F376" i="7"/>
  <c r="E376" i="7"/>
  <c r="B376" i="7"/>
  <c r="F375" i="7"/>
  <c r="E375" i="7"/>
  <c r="B375" i="7"/>
  <c r="F374" i="7"/>
  <c r="E374" i="7"/>
  <c r="B374" i="7"/>
  <c r="F373" i="7"/>
  <c r="E373" i="7"/>
  <c r="B373" i="7"/>
  <c r="F372" i="7"/>
  <c r="E372" i="7"/>
  <c r="B372" i="7"/>
  <c r="F371" i="7"/>
  <c r="E371" i="7"/>
  <c r="B371" i="7"/>
  <c r="F370" i="7"/>
  <c r="E370" i="7"/>
  <c r="B370" i="7"/>
  <c r="F369" i="7"/>
  <c r="E369" i="7"/>
  <c r="B369" i="7"/>
  <c r="F368" i="7"/>
  <c r="E368" i="7"/>
  <c r="B368" i="7"/>
  <c r="F367" i="7"/>
  <c r="E367" i="7"/>
  <c r="B367" i="7"/>
  <c r="F366" i="7"/>
  <c r="E366" i="7"/>
  <c r="B366" i="7"/>
  <c r="F365" i="7"/>
  <c r="E365" i="7"/>
  <c r="B365" i="7"/>
  <c r="F364" i="7"/>
  <c r="E364" i="7"/>
  <c r="B364" i="7"/>
  <c r="F363" i="7"/>
  <c r="E363" i="7"/>
  <c r="B363" i="7"/>
  <c r="F362" i="7"/>
  <c r="E362" i="7"/>
  <c r="B362" i="7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23" i="12"/>
  <c r="C841" i="12"/>
  <c r="C835" i="12"/>
  <c r="C829" i="12"/>
  <c r="C823" i="12"/>
  <c r="C817" i="12"/>
  <c r="C811" i="12"/>
  <c r="C805" i="12"/>
  <c r="C799" i="12"/>
  <c r="C793" i="12"/>
  <c r="C787" i="12"/>
  <c r="C781" i="12"/>
  <c r="C775" i="12"/>
  <c r="C769" i="12"/>
  <c r="C763" i="12"/>
  <c r="C757" i="12"/>
  <c r="C751" i="12"/>
  <c r="C745" i="12"/>
  <c r="C739" i="12"/>
  <c r="C733" i="12"/>
  <c r="C727" i="12"/>
  <c r="I141" i="1"/>
  <c r="C141" i="1"/>
  <c r="I140" i="1"/>
  <c r="C140" i="1"/>
  <c r="I139" i="1"/>
  <c r="C139" i="1"/>
  <c r="I138" i="1"/>
  <c r="C138" i="1"/>
  <c r="I137" i="1"/>
  <c r="C137" i="1"/>
  <c r="I136" i="1"/>
  <c r="C136" i="1"/>
  <c r="I135" i="1"/>
  <c r="C135" i="1"/>
  <c r="I134" i="1"/>
  <c r="C134" i="1"/>
  <c r="I133" i="1"/>
  <c r="C133" i="1"/>
  <c r="I132" i="1"/>
  <c r="C132" i="1"/>
  <c r="I131" i="1"/>
  <c r="C131" i="1"/>
  <c r="I130" i="1"/>
  <c r="C130" i="1"/>
  <c r="I129" i="1"/>
  <c r="C129" i="1"/>
  <c r="I128" i="1"/>
  <c r="C128" i="1"/>
  <c r="I127" i="1"/>
  <c r="C127" i="1"/>
  <c r="I126" i="1"/>
  <c r="C126" i="1"/>
  <c r="I125" i="1"/>
  <c r="C125" i="1"/>
  <c r="I124" i="1"/>
  <c r="C124" i="1"/>
  <c r="I123" i="1"/>
  <c r="C123" i="1"/>
  <c r="I122" i="1"/>
  <c r="C122" i="1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F6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<sst xmlns="http://schemas.openxmlformats.org/spreadsheetml/2006/main" count="11738" uniqueCount="266">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</sst>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20" sqref="M120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20.15625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4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6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6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6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6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6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6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6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6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6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  <row r="122" spans="1:16" x14ac:dyDescent="0.55000000000000004">
      <c r="A122">
        <v>1</v>
      </c>
      <c r="B122">
        <v>6</v>
      </c>
      <c r="C122" s="15" t="str">
        <f t="shared" ref="C122:C141" si="8">A122 &amp; "_"&amp; B122</f>
        <v>1_6</v>
      </c>
      <c r="D122" t="s">
        <v>16</v>
      </c>
      <c r="E122" t="s">
        <v>258</v>
      </c>
      <c r="F122">
        <v>54730</v>
      </c>
      <c r="G122">
        <v>-38.052667307926299</v>
      </c>
      <c r="H122">
        <v>176.47144524762001</v>
      </c>
      <c r="I122">
        <f>15*10</f>
        <v>150</v>
      </c>
      <c r="J122" t="s">
        <v>18</v>
      </c>
      <c r="K122" s="20">
        <v>46232.524305555555</v>
      </c>
      <c r="L122" t="s">
        <v>19</v>
      </c>
      <c r="N122">
        <v>0</v>
      </c>
      <c r="O122">
        <v>0</v>
      </c>
    </row>
    <row r="123" spans="1:16" x14ac:dyDescent="0.55000000000000004">
      <c r="A123">
        <v>2</v>
      </c>
      <c r="B123">
        <v>6</v>
      </c>
      <c r="C123" s="15" t="str">
        <f t="shared" si="8"/>
        <v>2_6</v>
      </c>
      <c r="D123" t="s">
        <v>16</v>
      </c>
      <c r="E123" t="s">
        <v>20</v>
      </c>
      <c r="F123">
        <v>54730</v>
      </c>
      <c r="G123">
        <v>-38.052913557037101</v>
      </c>
      <c r="H123">
        <v>176.47093312757499</v>
      </c>
      <c r="I123">
        <f t="shared" si="6"/>
        <v>150</v>
      </c>
      <c r="J123" t="s">
        <v>18</v>
      </c>
      <c r="K123" s="20">
        <v>46232.513194444444</v>
      </c>
      <c r="L123" t="s">
        <v>19</v>
      </c>
      <c r="N123">
        <v>0</v>
      </c>
      <c r="O123">
        <v>0</v>
      </c>
    </row>
    <row r="124" spans="1:16" x14ac:dyDescent="0.55000000000000004">
      <c r="A124">
        <v>3</v>
      </c>
      <c r="B124">
        <v>6</v>
      </c>
      <c r="C124" s="15" t="str">
        <f t="shared" si="8"/>
        <v>3_6</v>
      </c>
      <c r="D124" t="s">
        <v>16</v>
      </c>
      <c r="E124" t="s">
        <v>258</v>
      </c>
      <c r="F124">
        <v>54730</v>
      </c>
      <c r="G124">
        <v>-38.047698100528002</v>
      </c>
      <c r="H124">
        <v>176.341122568488</v>
      </c>
      <c r="I124">
        <f t="shared" si="6"/>
        <v>150</v>
      </c>
      <c r="J124" t="s">
        <v>22</v>
      </c>
      <c r="K124" s="20">
        <v>46232.440972222219</v>
      </c>
      <c r="L124" t="s">
        <v>19</v>
      </c>
      <c r="N124">
        <v>0</v>
      </c>
      <c r="O124">
        <v>0</v>
      </c>
    </row>
    <row r="125" spans="1:16" x14ac:dyDescent="0.55000000000000004">
      <c r="A125">
        <v>4</v>
      </c>
      <c r="B125">
        <v>6</v>
      </c>
      <c r="C125" s="15" t="str">
        <f t="shared" si="8"/>
        <v>4_6</v>
      </c>
      <c r="D125" t="s">
        <v>16</v>
      </c>
      <c r="E125" t="s">
        <v>20</v>
      </c>
      <c r="F125">
        <v>54730</v>
      </c>
      <c r="G125">
        <v>-38.048018716108501</v>
      </c>
      <c r="H125">
        <v>176.34148463911399</v>
      </c>
      <c r="I125">
        <f t="shared" si="6"/>
        <v>150</v>
      </c>
      <c r="J125" t="s">
        <v>22</v>
      </c>
      <c r="K125" s="20">
        <v>46232.440972222219</v>
      </c>
      <c r="L125" t="s">
        <v>19</v>
      </c>
      <c r="N125">
        <v>0</v>
      </c>
      <c r="O125">
        <v>0</v>
      </c>
    </row>
    <row r="126" spans="1:16" x14ac:dyDescent="0.55000000000000004">
      <c r="A126" s="41">
        <v>5</v>
      </c>
      <c r="B126" s="41">
        <v>6</v>
      </c>
      <c r="C126" s="42" t="str">
        <f t="shared" si="8"/>
        <v>5_6</v>
      </c>
      <c r="D126" s="41" t="s">
        <v>16</v>
      </c>
      <c r="E126" s="41" t="s">
        <v>258</v>
      </c>
      <c r="F126" s="41">
        <v>54730</v>
      </c>
      <c r="G126" s="41">
        <v>-38.022276086430402</v>
      </c>
      <c r="H126" s="41">
        <v>176.34864353760901</v>
      </c>
      <c r="I126" s="41">
        <f t="shared" si="6"/>
        <v>150</v>
      </c>
      <c r="J126" s="41" t="s">
        <v>22</v>
      </c>
      <c r="K126" s="43">
        <v>46232.407638888886</v>
      </c>
      <c r="L126" s="41" t="s">
        <v>19</v>
      </c>
      <c r="M126" s="41"/>
      <c r="N126" s="41">
        <v>0</v>
      </c>
      <c r="O126" s="41">
        <v>0</v>
      </c>
      <c r="P126" s="41" t="s">
        <v>40</v>
      </c>
    </row>
    <row r="127" spans="1:16" x14ac:dyDescent="0.55000000000000004">
      <c r="A127" s="41">
        <v>6</v>
      </c>
      <c r="B127" s="41">
        <v>6</v>
      </c>
      <c r="C127" s="42" t="str">
        <f t="shared" si="8"/>
        <v>6_6</v>
      </c>
      <c r="D127" s="41" t="s">
        <v>16</v>
      </c>
      <c r="E127" s="41" t="s">
        <v>20</v>
      </c>
      <c r="F127" s="41">
        <v>54730</v>
      </c>
      <c r="G127" s="41">
        <v>-38.0218725085535</v>
      </c>
      <c r="H127" s="41">
        <v>176.348304238168</v>
      </c>
      <c r="I127" s="41">
        <f t="shared" si="6"/>
        <v>150</v>
      </c>
      <c r="J127" s="41" t="s">
        <v>22</v>
      </c>
      <c r="K127" s="43">
        <v>46232.407638888886</v>
      </c>
      <c r="L127" s="41" t="s">
        <v>19</v>
      </c>
      <c r="M127" s="41"/>
      <c r="N127" s="41">
        <v>0</v>
      </c>
      <c r="O127" s="41">
        <v>0</v>
      </c>
      <c r="P127" s="41" t="s">
        <v>40</v>
      </c>
    </row>
    <row r="128" spans="1:16" x14ac:dyDescent="0.55000000000000004">
      <c r="A128">
        <v>7</v>
      </c>
      <c r="B128">
        <v>6</v>
      </c>
      <c r="C128" s="15" t="str">
        <f t="shared" si="8"/>
        <v>7_6</v>
      </c>
      <c r="D128" t="s">
        <v>16</v>
      </c>
      <c r="E128" t="s">
        <v>258</v>
      </c>
      <c r="F128">
        <v>54730</v>
      </c>
      <c r="G128">
        <v>-38.040070098908799</v>
      </c>
      <c r="H128">
        <v>176.36833341789901</v>
      </c>
      <c r="I128">
        <f t="shared" si="6"/>
        <v>150</v>
      </c>
      <c r="J128" t="s">
        <v>22</v>
      </c>
      <c r="K128" s="20">
        <v>46232.474999999999</v>
      </c>
      <c r="L128" t="s">
        <v>19</v>
      </c>
      <c r="N128">
        <v>0</v>
      </c>
      <c r="O128">
        <v>0</v>
      </c>
    </row>
    <row r="129" spans="1:15" x14ac:dyDescent="0.55000000000000004">
      <c r="A129">
        <v>8</v>
      </c>
      <c r="B129">
        <v>6</v>
      </c>
      <c r="C129" s="15" t="str">
        <f t="shared" si="8"/>
        <v>8_6</v>
      </c>
      <c r="D129" t="s">
        <v>16</v>
      </c>
      <c r="E129" t="s">
        <v>20</v>
      </c>
      <c r="F129">
        <v>54730</v>
      </c>
      <c r="G129">
        <v>-38.039988426991101</v>
      </c>
      <c r="H129">
        <v>176.36764097484499</v>
      </c>
      <c r="I129">
        <f t="shared" si="6"/>
        <v>150</v>
      </c>
      <c r="J129" t="s">
        <v>22</v>
      </c>
      <c r="K129" s="20">
        <v>46232.473611111112</v>
      </c>
      <c r="L129" t="s">
        <v>19</v>
      </c>
      <c r="N129">
        <v>0</v>
      </c>
      <c r="O129">
        <v>0</v>
      </c>
    </row>
    <row r="130" spans="1:15" x14ac:dyDescent="0.55000000000000004">
      <c r="A130">
        <v>9</v>
      </c>
      <c r="B130">
        <v>6</v>
      </c>
      <c r="C130" s="15" t="str">
        <f t="shared" si="8"/>
        <v>9_6</v>
      </c>
      <c r="D130" t="s">
        <v>16</v>
      </c>
      <c r="E130" t="s">
        <v>258</v>
      </c>
      <c r="F130">
        <v>54730</v>
      </c>
      <c r="G130">
        <v>-38.014983800000003</v>
      </c>
      <c r="H130">
        <v>176.4133799</v>
      </c>
      <c r="I130">
        <f t="shared" si="6"/>
        <v>150</v>
      </c>
      <c r="J130" t="s">
        <v>22</v>
      </c>
      <c r="K130" s="20">
        <v>46232.375694444447</v>
      </c>
      <c r="L130" t="s">
        <v>19</v>
      </c>
      <c r="N130">
        <v>0</v>
      </c>
      <c r="O130">
        <v>0</v>
      </c>
    </row>
    <row r="131" spans="1:15" x14ac:dyDescent="0.55000000000000004">
      <c r="A131">
        <v>10</v>
      </c>
      <c r="B131">
        <v>6</v>
      </c>
      <c r="C131" s="15" t="str">
        <f t="shared" si="8"/>
        <v>10_6</v>
      </c>
      <c r="D131" t="s">
        <v>16</v>
      </c>
      <c r="E131" t="s">
        <v>20</v>
      </c>
      <c r="F131">
        <v>54730</v>
      </c>
      <c r="G131">
        <v>-38.014989425094797</v>
      </c>
      <c r="H131">
        <v>176.41420505142599</v>
      </c>
      <c r="I131">
        <f t="shared" si="6"/>
        <v>150</v>
      </c>
      <c r="J131" t="s">
        <v>18</v>
      </c>
      <c r="K131" s="20">
        <v>46232.375694444447</v>
      </c>
      <c r="L131" t="s">
        <v>19</v>
      </c>
      <c r="N131">
        <v>0</v>
      </c>
      <c r="O131">
        <v>0</v>
      </c>
    </row>
    <row r="132" spans="1:15" x14ac:dyDescent="0.55000000000000004">
      <c r="A132">
        <v>11</v>
      </c>
      <c r="B132">
        <v>6</v>
      </c>
      <c r="C132" s="15" t="str">
        <f t="shared" si="8"/>
        <v>11_6</v>
      </c>
      <c r="D132" t="s">
        <v>16</v>
      </c>
      <c r="E132" s="16" t="s">
        <v>24</v>
      </c>
      <c r="F132">
        <v>54730</v>
      </c>
      <c r="G132">
        <v>-38.027605602270803</v>
      </c>
      <c r="H132" s="16">
        <v>176.40494378912001</v>
      </c>
      <c r="I132">
        <f t="shared" si="6"/>
        <v>150</v>
      </c>
      <c r="J132" t="s">
        <v>18</v>
      </c>
      <c r="K132" s="20">
        <v>46230.453472222223</v>
      </c>
      <c r="L132" t="s">
        <v>19</v>
      </c>
      <c r="M132">
        <v>4</v>
      </c>
      <c r="N132">
        <v>0</v>
      </c>
      <c r="O132">
        <v>0</v>
      </c>
    </row>
    <row r="133" spans="1:15" x14ac:dyDescent="0.55000000000000004">
      <c r="A133">
        <v>12</v>
      </c>
      <c r="B133">
        <v>6</v>
      </c>
      <c r="C133" s="15" t="str">
        <f t="shared" si="8"/>
        <v>12_6</v>
      </c>
      <c r="D133" t="s">
        <v>16</v>
      </c>
      <c r="E133" s="16" t="s">
        <v>24</v>
      </c>
      <c r="F133">
        <v>54730</v>
      </c>
      <c r="G133">
        <v>-38.027782999999999</v>
      </c>
      <c r="H133" s="16">
        <v>176.4042814</v>
      </c>
      <c r="I133">
        <f t="shared" si="6"/>
        <v>150</v>
      </c>
      <c r="J133" t="s">
        <v>18</v>
      </c>
      <c r="K133" s="20">
        <v>46230.453472222223</v>
      </c>
      <c r="L133" t="s">
        <v>19</v>
      </c>
      <c r="M133">
        <v>4</v>
      </c>
      <c r="N133">
        <v>0</v>
      </c>
      <c r="O133">
        <v>0</v>
      </c>
    </row>
    <row r="134" spans="1:15" x14ac:dyDescent="0.55000000000000004">
      <c r="A134">
        <v>13</v>
      </c>
      <c r="B134">
        <v>6</v>
      </c>
      <c r="C134" s="15" t="str">
        <f t="shared" si="8"/>
        <v>13_6</v>
      </c>
      <c r="D134" t="s">
        <v>16</v>
      </c>
      <c r="E134" s="16" t="s">
        <v>24</v>
      </c>
      <c r="F134">
        <v>54730</v>
      </c>
      <c r="G134">
        <v>-38.040194900000003</v>
      </c>
      <c r="H134" s="16">
        <v>176.35867870000001</v>
      </c>
      <c r="I134">
        <f t="shared" si="6"/>
        <v>150</v>
      </c>
      <c r="J134" t="s">
        <v>22</v>
      </c>
      <c r="K134" s="20">
        <v>46230.399305555555</v>
      </c>
      <c r="L134" t="s">
        <v>19</v>
      </c>
      <c r="M134">
        <v>4</v>
      </c>
      <c r="N134">
        <v>0</v>
      </c>
      <c r="O134">
        <v>0</v>
      </c>
    </row>
    <row r="135" spans="1:15" x14ac:dyDescent="0.55000000000000004">
      <c r="A135">
        <v>14</v>
      </c>
      <c r="B135">
        <v>6</v>
      </c>
      <c r="C135" s="15" t="str">
        <f t="shared" si="8"/>
        <v>14_6</v>
      </c>
      <c r="D135" t="s">
        <v>16</v>
      </c>
      <c r="E135" s="16" t="s">
        <v>24</v>
      </c>
      <c r="F135">
        <v>54730</v>
      </c>
      <c r="G135">
        <v>-38.039811399999998</v>
      </c>
      <c r="H135" s="16">
        <v>176.3581623</v>
      </c>
      <c r="I135">
        <f t="shared" si="6"/>
        <v>150</v>
      </c>
      <c r="J135" t="s">
        <v>22</v>
      </c>
      <c r="K135" s="20">
        <v>46230.399305555555</v>
      </c>
      <c r="L135" t="s">
        <v>19</v>
      </c>
      <c r="M135">
        <v>4</v>
      </c>
      <c r="N135">
        <v>0</v>
      </c>
      <c r="O135">
        <v>0</v>
      </c>
    </row>
    <row r="136" spans="1:15" x14ac:dyDescent="0.55000000000000004">
      <c r="A136">
        <v>15</v>
      </c>
      <c r="B136">
        <v>6</v>
      </c>
      <c r="C136" s="15" t="str">
        <f t="shared" si="8"/>
        <v>15_6</v>
      </c>
      <c r="D136" t="s">
        <v>16</v>
      </c>
      <c r="E136" s="16" t="s">
        <v>24</v>
      </c>
      <c r="F136">
        <v>54730</v>
      </c>
      <c r="G136">
        <v>-38.035432005463697</v>
      </c>
      <c r="H136" s="16">
        <v>176.345087343881</v>
      </c>
      <c r="I136">
        <f t="shared" si="6"/>
        <v>150</v>
      </c>
      <c r="J136" t="s">
        <v>18</v>
      </c>
      <c r="K136" s="20">
        <v>46230.387499999997</v>
      </c>
      <c r="L136" t="s">
        <v>19</v>
      </c>
      <c r="M136">
        <v>4</v>
      </c>
      <c r="N136">
        <v>0</v>
      </c>
      <c r="O136">
        <v>0</v>
      </c>
    </row>
    <row r="137" spans="1:15" x14ac:dyDescent="0.55000000000000004">
      <c r="A137">
        <v>16</v>
      </c>
      <c r="B137">
        <v>6</v>
      </c>
      <c r="C137" s="15" t="str">
        <f t="shared" si="8"/>
        <v>16_6</v>
      </c>
      <c r="D137" t="s">
        <v>16</v>
      </c>
      <c r="E137" s="16" t="s">
        <v>24</v>
      </c>
      <c r="F137">
        <v>54730</v>
      </c>
      <c r="G137">
        <v>-38.035946522853997</v>
      </c>
      <c r="H137" s="16">
        <v>176.34572710770701</v>
      </c>
      <c r="I137">
        <f t="shared" si="6"/>
        <v>150</v>
      </c>
      <c r="J137" t="s">
        <v>18</v>
      </c>
      <c r="K137" s="20">
        <v>46230.39166666667</v>
      </c>
      <c r="L137" t="s">
        <v>19</v>
      </c>
      <c r="M137">
        <v>4</v>
      </c>
      <c r="N137">
        <v>0</v>
      </c>
      <c r="O137">
        <v>0</v>
      </c>
    </row>
    <row r="138" spans="1:15" x14ac:dyDescent="0.55000000000000004">
      <c r="A138">
        <v>17</v>
      </c>
      <c r="B138">
        <v>6</v>
      </c>
      <c r="C138" s="15" t="str">
        <f t="shared" si="8"/>
        <v>17_6</v>
      </c>
      <c r="D138" t="s">
        <v>16</v>
      </c>
      <c r="E138" s="16" t="s">
        <v>24</v>
      </c>
      <c r="F138">
        <v>54730</v>
      </c>
      <c r="G138">
        <v>-38.0174132</v>
      </c>
      <c r="H138" s="16">
        <v>176.37552679999999</v>
      </c>
      <c r="I138">
        <f t="shared" si="6"/>
        <v>150</v>
      </c>
      <c r="J138" t="s">
        <v>18</v>
      </c>
      <c r="K138" s="20">
        <v>46230.420138888891</v>
      </c>
      <c r="L138" t="s">
        <v>19</v>
      </c>
      <c r="M138">
        <v>4</v>
      </c>
      <c r="N138">
        <v>0</v>
      </c>
      <c r="O138">
        <v>0</v>
      </c>
    </row>
    <row r="139" spans="1:15" x14ac:dyDescent="0.55000000000000004">
      <c r="A139">
        <v>18</v>
      </c>
      <c r="B139">
        <v>6</v>
      </c>
      <c r="C139" s="15" t="str">
        <f t="shared" si="8"/>
        <v>18_6</v>
      </c>
      <c r="D139" t="s">
        <v>16</v>
      </c>
      <c r="E139" s="16" t="s">
        <v>24</v>
      </c>
      <c r="F139">
        <v>54730</v>
      </c>
      <c r="G139">
        <v>-38.0172588</v>
      </c>
      <c r="H139" s="16">
        <v>176.3757789</v>
      </c>
      <c r="I139">
        <f t="shared" si="6"/>
        <v>150</v>
      </c>
      <c r="J139" t="s">
        <v>18</v>
      </c>
      <c r="K139" s="20">
        <v>46230.420138888891</v>
      </c>
      <c r="L139" t="s">
        <v>19</v>
      </c>
      <c r="M139">
        <v>4</v>
      </c>
      <c r="N139">
        <v>0</v>
      </c>
      <c r="O139">
        <v>0</v>
      </c>
    </row>
    <row r="140" spans="1:15" x14ac:dyDescent="0.55000000000000004">
      <c r="A140">
        <v>19</v>
      </c>
      <c r="B140">
        <v>6</v>
      </c>
      <c r="C140" s="15" t="str">
        <f t="shared" si="8"/>
        <v>19_6</v>
      </c>
      <c r="D140" t="s">
        <v>16</v>
      </c>
      <c r="E140" s="16" t="s">
        <v>24</v>
      </c>
      <c r="F140">
        <v>54730</v>
      </c>
      <c r="G140">
        <v>-38.016770000000001</v>
      </c>
      <c r="H140" s="16">
        <v>176.42099999999999</v>
      </c>
      <c r="I140">
        <f t="shared" si="6"/>
        <v>150</v>
      </c>
      <c r="J140" t="s">
        <v>18</v>
      </c>
      <c r="K140" s="20">
        <v>46230.435416666667</v>
      </c>
      <c r="L140" t="s">
        <v>19</v>
      </c>
      <c r="M140">
        <v>4</v>
      </c>
      <c r="N140">
        <v>0</v>
      </c>
      <c r="O140">
        <v>0</v>
      </c>
    </row>
    <row r="141" spans="1:15" x14ac:dyDescent="0.55000000000000004">
      <c r="A141">
        <v>20</v>
      </c>
      <c r="B141">
        <v>6</v>
      </c>
      <c r="C141" s="15" t="str">
        <f t="shared" si="8"/>
        <v>20_6</v>
      </c>
      <c r="D141" t="s">
        <v>16</v>
      </c>
      <c r="E141" s="16" t="s">
        <v>24</v>
      </c>
      <c r="F141">
        <v>54730</v>
      </c>
      <c r="G141">
        <v>-38.0170202210521</v>
      </c>
      <c r="H141" s="16">
        <v>176.42048967569099</v>
      </c>
      <c r="I141">
        <f t="shared" si="6"/>
        <v>150</v>
      </c>
      <c r="J141" t="s">
        <v>18</v>
      </c>
      <c r="K141" s="20">
        <v>46230.435416666667</v>
      </c>
      <c r="L141" t="s">
        <v>19</v>
      </c>
      <c r="M141">
        <v>4</v>
      </c>
      <c r="N141">
        <v>0</v>
      </c>
      <c r="O14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341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842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F813" sqref="F813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  <row r="723" spans="1:6" x14ac:dyDescent="0.55000000000000004">
      <c r="A723">
        <v>1</v>
      </c>
      <c r="B723" s="15" t="str">
        <f>A723 &amp; "_6"</f>
        <v>1_6</v>
      </c>
      <c r="C723" t="s">
        <v>77</v>
      </c>
      <c r="D723" t="s">
        <v>78</v>
      </c>
      <c r="E723" t="s">
        <v>79</v>
      </c>
      <c r="F723">
        <v>13.2</v>
      </c>
    </row>
    <row r="724" spans="1:6" x14ac:dyDescent="0.55000000000000004">
      <c r="A724">
        <v>1</v>
      </c>
      <c r="B724" s="15" t="str">
        <f t="shared" ref="B724:B787" si="12">A724 &amp; "_6"</f>
        <v>1_6</v>
      </c>
      <c r="C724" t="s">
        <v>77</v>
      </c>
      <c r="D724" t="s">
        <v>80</v>
      </c>
      <c r="E724" t="s">
        <v>81</v>
      </c>
      <c r="F724">
        <v>11.26</v>
      </c>
    </row>
    <row r="725" spans="1:6" x14ac:dyDescent="0.55000000000000004">
      <c r="A725">
        <v>1</v>
      </c>
      <c r="B725" s="15" t="str">
        <f t="shared" si="12"/>
        <v>1_6</v>
      </c>
      <c r="C725" t="s">
        <v>77</v>
      </c>
      <c r="D725" t="s">
        <v>82</v>
      </c>
      <c r="E725" t="s">
        <v>52</v>
      </c>
      <c r="F725">
        <v>107.5</v>
      </c>
    </row>
    <row r="726" spans="1:6" x14ac:dyDescent="0.55000000000000004">
      <c r="A726">
        <v>1</v>
      </c>
      <c r="B726" s="15" t="str">
        <f t="shared" si="12"/>
        <v>1_6</v>
      </c>
      <c r="C726" t="s">
        <v>77</v>
      </c>
      <c r="D726" t="s">
        <v>83</v>
      </c>
      <c r="E726" t="s">
        <v>84</v>
      </c>
      <c r="F726">
        <v>127.4</v>
      </c>
    </row>
    <row r="727" spans="1:6" x14ac:dyDescent="0.55000000000000004">
      <c r="A727">
        <v>1</v>
      </c>
      <c r="B727" s="15" t="str">
        <f t="shared" si="12"/>
        <v>1_6</v>
      </c>
      <c r="C727" t="str">
        <f>C726</f>
        <v>Chemical</v>
      </c>
      <c r="D727" t="s">
        <v>85</v>
      </c>
      <c r="E727" t="s">
        <v>84</v>
      </c>
      <c r="F727">
        <v>164.4</v>
      </c>
    </row>
    <row r="728" spans="1:6" x14ac:dyDescent="0.55000000000000004">
      <c r="A728">
        <v>1</v>
      </c>
      <c r="B728" s="15" t="str">
        <f t="shared" si="12"/>
        <v>1_6</v>
      </c>
      <c r="C728" t="s">
        <v>77</v>
      </c>
      <c r="D728" t="s">
        <v>86</v>
      </c>
      <c r="F728">
        <v>7.18</v>
      </c>
    </row>
    <row r="729" spans="1:6" x14ac:dyDescent="0.55000000000000004">
      <c r="A729">
        <v>2</v>
      </c>
      <c r="B729" s="15" t="str">
        <f t="shared" si="12"/>
        <v>2_6</v>
      </c>
      <c r="C729" t="s">
        <v>77</v>
      </c>
      <c r="D729" t="s">
        <v>78</v>
      </c>
      <c r="E729" t="s">
        <v>79</v>
      </c>
      <c r="F729">
        <v>12.7</v>
      </c>
    </row>
    <row r="730" spans="1:6" x14ac:dyDescent="0.55000000000000004">
      <c r="A730">
        <v>2</v>
      </c>
      <c r="B730" s="15" t="str">
        <f t="shared" si="12"/>
        <v>2_6</v>
      </c>
      <c r="C730" t="s">
        <v>77</v>
      </c>
      <c r="D730" t="s">
        <v>80</v>
      </c>
      <c r="E730" t="s">
        <v>81</v>
      </c>
      <c r="F730">
        <v>10.65</v>
      </c>
    </row>
    <row r="731" spans="1:6" x14ac:dyDescent="0.55000000000000004">
      <c r="A731">
        <v>2</v>
      </c>
      <c r="B731" s="15" t="str">
        <f t="shared" si="12"/>
        <v>2_6</v>
      </c>
      <c r="C731" t="s">
        <v>77</v>
      </c>
      <c r="D731" t="s">
        <v>82</v>
      </c>
      <c r="E731" t="s">
        <v>52</v>
      </c>
      <c r="F731">
        <v>100.6</v>
      </c>
    </row>
    <row r="732" spans="1:6" x14ac:dyDescent="0.55000000000000004">
      <c r="A732">
        <v>2</v>
      </c>
      <c r="B732" s="15" t="str">
        <f t="shared" si="12"/>
        <v>2_6</v>
      </c>
      <c r="C732" t="s">
        <v>77</v>
      </c>
      <c r="D732" t="s">
        <v>83</v>
      </c>
      <c r="E732" t="s">
        <v>84</v>
      </c>
      <c r="F732">
        <v>126.6</v>
      </c>
    </row>
    <row r="733" spans="1:6" x14ac:dyDescent="0.55000000000000004">
      <c r="A733">
        <v>2</v>
      </c>
      <c r="B733" s="15" t="str">
        <f t="shared" si="12"/>
        <v>2_6</v>
      </c>
      <c r="C733" t="str">
        <f>C732</f>
        <v>Chemical</v>
      </c>
      <c r="D733" t="s">
        <v>85</v>
      </c>
      <c r="E733" t="s">
        <v>84</v>
      </c>
      <c r="F733">
        <v>165.2</v>
      </c>
    </row>
    <row r="734" spans="1:6" x14ac:dyDescent="0.55000000000000004">
      <c r="A734">
        <v>2</v>
      </c>
      <c r="B734" s="15" t="str">
        <f t="shared" si="12"/>
        <v>2_6</v>
      </c>
      <c r="C734" t="s">
        <v>77</v>
      </c>
      <c r="D734" t="s">
        <v>86</v>
      </c>
      <c r="F734">
        <v>6.45</v>
      </c>
    </row>
    <row r="735" spans="1:6" x14ac:dyDescent="0.55000000000000004">
      <c r="A735">
        <v>3</v>
      </c>
      <c r="B735" s="15" t="str">
        <f t="shared" si="12"/>
        <v>3_6</v>
      </c>
      <c r="C735" t="s">
        <v>77</v>
      </c>
      <c r="D735" t="s">
        <v>78</v>
      </c>
      <c r="E735" t="s">
        <v>79</v>
      </c>
      <c r="F735">
        <v>10.6</v>
      </c>
    </row>
    <row r="736" spans="1:6" x14ac:dyDescent="0.55000000000000004">
      <c r="A736">
        <v>3</v>
      </c>
      <c r="B736" s="15" t="str">
        <f t="shared" si="12"/>
        <v>3_6</v>
      </c>
      <c r="C736" t="s">
        <v>77</v>
      </c>
      <c r="D736" t="s">
        <v>80</v>
      </c>
      <c r="E736" t="s">
        <v>81</v>
      </c>
      <c r="F736">
        <v>11.76</v>
      </c>
    </row>
    <row r="737" spans="1:6" x14ac:dyDescent="0.55000000000000004">
      <c r="A737">
        <v>3</v>
      </c>
      <c r="B737" s="15" t="str">
        <f t="shared" si="12"/>
        <v>3_6</v>
      </c>
      <c r="C737" t="s">
        <v>77</v>
      </c>
      <c r="D737" t="s">
        <v>82</v>
      </c>
      <c r="E737" t="s">
        <v>52</v>
      </c>
      <c r="F737">
        <v>105.8</v>
      </c>
    </row>
    <row r="738" spans="1:6" x14ac:dyDescent="0.55000000000000004">
      <c r="A738">
        <v>3</v>
      </c>
      <c r="B738" s="15" t="str">
        <f t="shared" si="12"/>
        <v>3_6</v>
      </c>
      <c r="C738" t="s">
        <v>77</v>
      </c>
      <c r="D738" t="s">
        <v>83</v>
      </c>
      <c r="E738" t="s">
        <v>84</v>
      </c>
      <c r="F738">
        <v>123.3</v>
      </c>
    </row>
    <row r="739" spans="1:6" x14ac:dyDescent="0.55000000000000004">
      <c r="A739">
        <v>3</v>
      </c>
      <c r="B739" s="15" t="str">
        <f t="shared" si="12"/>
        <v>3_6</v>
      </c>
      <c r="C739" t="str">
        <f>C738</f>
        <v>Chemical</v>
      </c>
      <c r="D739" t="s">
        <v>85</v>
      </c>
      <c r="E739" t="s">
        <v>84</v>
      </c>
      <c r="F739">
        <v>169.9</v>
      </c>
    </row>
    <row r="740" spans="1:6" x14ac:dyDescent="0.55000000000000004">
      <c r="A740">
        <v>3</v>
      </c>
      <c r="B740" s="15" t="str">
        <f t="shared" si="12"/>
        <v>3_6</v>
      </c>
      <c r="C740" t="s">
        <v>77</v>
      </c>
      <c r="D740" t="s">
        <v>86</v>
      </c>
      <c r="F740">
        <v>7.29</v>
      </c>
    </row>
    <row r="741" spans="1:6" x14ac:dyDescent="0.55000000000000004">
      <c r="A741">
        <v>4</v>
      </c>
      <c r="B741" s="15" t="str">
        <f t="shared" si="12"/>
        <v>4_6</v>
      </c>
      <c r="C741" t="s">
        <v>77</v>
      </c>
      <c r="D741" t="s">
        <v>78</v>
      </c>
      <c r="E741" t="s">
        <v>79</v>
      </c>
      <c r="F741">
        <v>10.6</v>
      </c>
    </row>
    <row r="742" spans="1:6" x14ac:dyDescent="0.55000000000000004">
      <c r="A742">
        <v>4</v>
      </c>
      <c r="B742" s="15" t="str">
        <f t="shared" si="12"/>
        <v>4_6</v>
      </c>
      <c r="C742" t="s">
        <v>77</v>
      </c>
      <c r="D742" t="s">
        <v>80</v>
      </c>
      <c r="E742" t="s">
        <v>81</v>
      </c>
      <c r="F742">
        <v>11.76</v>
      </c>
    </row>
    <row r="743" spans="1:6" x14ac:dyDescent="0.55000000000000004">
      <c r="A743">
        <v>4</v>
      </c>
      <c r="B743" s="15" t="str">
        <f t="shared" si="12"/>
        <v>4_6</v>
      </c>
      <c r="C743" t="s">
        <v>77</v>
      </c>
      <c r="D743" t="s">
        <v>82</v>
      </c>
      <c r="E743" t="s">
        <v>52</v>
      </c>
      <c r="F743">
        <v>105.8</v>
      </c>
    </row>
    <row r="744" spans="1:6" x14ac:dyDescent="0.55000000000000004">
      <c r="A744">
        <v>4</v>
      </c>
      <c r="B744" s="15" t="str">
        <f t="shared" si="12"/>
        <v>4_6</v>
      </c>
      <c r="C744" t="s">
        <v>77</v>
      </c>
      <c r="D744" t="s">
        <v>83</v>
      </c>
      <c r="E744" t="s">
        <v>84</v>
      </c>
      <c r="F744">
        <v>123.3</v>
      </c>
    </row>
    <row r="745" spans="1:6" x14ac:dyDescent="0.55000000000000004">
      <c r="A745">
        <v>4</v>
      </c>
      <c r="B745" s="15" t="str">
        <f t="shared" si="12"/>
        <v>4_6</v>
      </c>
      <c r="C745" t="str">
        <f>C744</f>
        <v>Chemical</v>
      </c>
      <c r="D745" t="s">
        <v>85</v>
      </c>
      <c r="E745" t="s">
        <v>84</v>
      </c>
      <c r="F745">
        <v>169.9</v>
      </c>
    </row>
    <row r="746" spans="1:6" x14ac:dyDescent="0.55000000000000004">
      <c r="A746">
        <v>4</v>
      </c>
      <c r="B746" s="15" t="str">
        <f t="shared" si="12"/>
        <v>4_6</v>
      </c>
      <c r="C746" t="s">
        <v>77</v>
      </c>
      <c r="D746" t="s">
        <v>86</v>
      </c>
      <c r="F746">
        <v>7.29</v>
      </c>
    </row>
    <row r="747" spans="1:6" x14ac:dyDescent="0.55000000000000004">
      <c r="A747">
        <v>5</v>
      </c>
      <c r="B747" s="15" t="str">
        <f t="shared" si="12"/>
        <v>5_6</v>
      </c>
      <c r="C747" t="s">
        <v>77</v>
      </c>
      <c r="D747" t="s">
        <v>78</v>
      </c>
      <c r="E747" t="s">
        <v>79</v>
      </c>
      <c r="F747">
        <v>8.3000000000000007</v>
      </c>
    </row>
    <row r="748" spans="1:6" x14ac:dyDescent="0.55000000000000004">
      <c r="A748">
        <v>5</v>
      </c>
      <c r="B748" s="15" t="str">
        <f t="shared" si="12"/>
        <v>5_6</v>
      </c>
      <c r="C748" t="s">
        <v>77</v>
      </c>
      <c r="D748" t="s">
        <v>80</v>
      </c>
      <c r="E748" t="s">
        <v>81</v>
      </c>
      <c r="F748">
        <v>11.19</v>
      </c>
    </row>
    <row r="749" spans="1:6" x14ac:dyDescent="0.55000000000000004">
      <c r="A749">
        <v>5</v>
      </c>
      <c r="B749" s="15" t="str">
        <f t="shared" si="12"/>
        <v>5_6</v>
      </c>
      <c r="C749" t="s">
        <v>77</v>
      </c>
      <c r="D749" t="s">
        <v>82</v>
      </c>
      <c r="E749" t="s">
        <v>52</v>
      </c>
      <c r="F749">
        <v>95.2</v>
      </c>
    </row>
    <row r="750" spans="1:6" x14ac:dyDescent="0.55000000000000004">
      <c r="A750">
        <v>5</v>
      </c>
      <c r="B750" s="15" t="str">
        <f t="shared" si="12"/>
        <v>5_6</v>
      </c>
      <c r="C750" t="s">
        <v>77</v>
      </c>
      <c r="D750" t="s">
        <v>83</v>
      </c>
      <c r="E750" t="s">
        <v>84</v>
      </c>
      <c r="F750">
        <v>117.6</v>
      </c>
    </row>
    <row r="751" spans="1:6" x14ac:dyDescent="0.55000000000000004">
      <c r="A751">
        <v>5</v>
      </c>
      <c r="B751" s="15" t="str">
        <f t="shared" si="12"/>
        <v>5_6</v>
      </c>
      <c r="C751" t="str">
        <f>C750</f>
        <v>Chemical</v>
      </c>
      <c r="D751" t="s">
        <v>85</v>
      </c>
      <c r="E751" t="s">
        <v>84</v>
      </c>
      <c r="F751">
        <v>172.8</v>
      </c>
    </row>
    <row r="752" spans="1:6" x14ac:dyDescent="0.55000000000000004">
      <c r="A752">
        <v>5</v>
      </c>
      <c r="B752" s="15" t="str">
        <f t="shared" si="12"/>
        <v>5_6</v>
      </c>
      <c r="C752" t="s">
        <v>77</v>
      </c>
      <c r="D752" t="s">
        <v>86</v>
      </c>
      <c r="F752">
        <v>7.1</v>
      </c>
    </row>
    <row r="753" spans="1:6" x14ac:dyDescent="0.55000000000000004">
      <c r="A753">
        <v>6</v>
      </c>
      <c r="B753" s="15" t="str">
        <f t="shared" si="12"/>
        <v>6_6</v>
      </c>
      <c r="C753" t="s">
        <v>77</v>
      </c>
      <c r="D753" t="s">
        <v>78</v>
      </c>
      <c r="E753" t="s">
        <v>79</v>
      </c>
      <c r="F753">
        <v>8.3000000000000007</v>
      </c>
    </row>
    <row r="754" spans="1:6" x14ac:dyDescent="0.55000000000000004">
      <c r="A754">
        <v>6</v>
      </c>
      <c r="B754" s="15" t="str">
        <f t="shared" si="12"/>
        <v>6_6</v>
      </c>
      <c r="C754" t="s">
        <v>77</v>
      </c>
      <c r="D754" t="s">
        <v>80</v>
      </c>
      <c r="E754" t="s">
        <v>81</v>
      </c>
      <c r="F754">
        <v>11.19</v>
      </c>
    </row>
    <row r="755" spans="1:6" x14ac:dyDescent="0.55000000000000004">
      <c r="A755">
        <v>6</v>
      </c>
      <c r="B755" s="15" t="str">
        <f t="shared" si="12"/>
        <v>6_6</v>
      </c>
      <c r="C755" t="s">
        <v>77</v>
      </c>
      <c r="D755" t="s">
        <v>82</v>
      </c>
      <c r="E755" t="s">
        <v>52</v>
      </c>
      <c r="F755">
        <v>95.2</v>
      </c>
    </row>
    <row r="756" spans="1:6" x14ac:dyDescent="0.55000000000000004">
      <c r="A756">
        <v>6</v>
      </c>
      <c r="B756" s="15" t="str">
        <f t="shared" si="12"/>
        <v>6_6</v>
      </c>
      <c r="C756" t="s">
        <v>77</v>
      </c>
      <c r="D756" t="s">
        <v>83</v>
      </c>
      <c r="E756" t="s">
        <v>84</v>
      </c>
      <c r="F756">
        <v>117.6</v>
      </c>
    </row>
    <row r="757" spans="1:6" x14ac:dyDescent="0.55000000000000004">
      <c r="A757">
        <v>6</v>
      </c>
      <c r="B757" s="15" t="str">
        <f t="shared" si="12"/>
        <v>6_6</v>
      </c>
      <c r="C757" t="str">
        <f>C756</f>
        <v>Chemical</v>
      </c>
      <c r="D757" t="s">
        <v>85</v>
      </c>
      <c r="E757" t="s">
        <v>84</v>
      </c>
      <c r="F757">
        <v>172.8</v>
      </c>
    </row>
    <row r="758" spans="1:6" x14ac:dyDescent="0.55000000000000004">
      <c r="A758">
        <v>6</v>
      </c>
      <c r="B758" s="15" t="str">
        <f t="shared" si="12"/>
        <v>6_6</v>
      </c>
      <c r="C758" t="s">
        <v>77</v>
      </c>
      <c r="D758" t="s">
        <v>86</v>
      </c>
      <c r="F758">
        <v>7.1</v>
      </c>
    </row>
    <row r="759" spans="1:6" x14ac:dyDescent="0.55000000000000004">
      <c r="A759">
        <v>7</v>
      </c>
      <c r="B759" s="15" t="str">
        <f t="shared" si="12"/>
        <v>7_6</v>
      </c>
      <c r="C759" t="s">
        <v>77</v>
      </c>
      <c r="D759" t="s">
        <v>78</v>
      </c>
      <c r="E759" t="s">
        <v>79</v>
      </c>
      <c r="F759">
        <v>11.7</v>
      </c>
    </row>
    <row r="760" spans="1:6" x14ac:dyDescent="0.55000000000000004">
      <c r="A760">
        <v>7</v>
      </c>
      <c r="B760" s="15" t="str">
        <f t="shared" si="12"/>
        <v>7_6</v>
      </c>
      <c r="C760" t="s">
        <v>77</v>
      </c>
      <c r="D760" t="s">
        <v>80</v>
      </c>
      <c r="E760" t="s">
        <v>81</v>
      </c>
      <c r="F760">
        <v>10.91</v>
      </c>
    </row>
    <row r="761" spans="1:6" x14ac:dyDescent="0.55000000000000004">
      <c r="A761">
        <v>7</v>
      </c>
      <c r="B761" s="15" t="str">
        <f t="shared" si="12"/>
        <v>7_6</v>
      </c>
      <c r="C761" t="s">
        <v>77</v>
      </c>
      <c r="D761" t="s">
        <v>82</v>
      </c>
      <c r="E761" t="s">
        <v>52</v>
      </c>
      <c r="F761">
        <v>100.6</v>
      </c>
    </row>
    <row r="762" spans="1:6" x14ac:dyDescent="0.55000000000000004">
      <c r="A762">
        <v>7</v>
      </c>
      <c r="B762" s="15" t="str">
        <f t="shared" si="12"/>
        <v>7_6</v>
      </c>
      <c r="C762" t="s">
        <v>77</v>
      </c>
      <c r="D762" t="s">
        <v>83</v>
      </c>
      <c r="E762" t="s">
        <v>84</v>
      </c>
      <c r="F762">
        <v>128.5</v>
      </c>
    </row>
    <row r="763" spans="1:6" x14ac:dyDescent="0.55000000000000004">
      <c r="A763">
        <v>7</v>
      </c>
      <c r="B763" s="15" t="str">
        <f t="shared" si="12"/>
        <v>7_6</v>
      </c>
      <c r="C763" t="str">
        <f>C762</f>
        <v>Chemical</v>
      </c>
      <c r="D763" t="s">
        <v>85</v>
      </c>
      <c r="E763" t="s">
        <v>84</v>
      </c>
      <c r="F763">
        <v>172.4</v>
      </c>
    </row>
    <row r="764" spans="1:6" x14ac:dyDescent="0.55000000000000004">
      <c r="A764">
        <v>7</v>
      </c>
      <c r="B764" s="15" t="str">
        <f t="shared" si="12"/>
        <v>7_6</v>
      </c>
      <c r="C764" t="s">
        <v>77</v>
      </c>
      <c r="D764" t="s">
        <v>86</v>
      </c>
      <c r="F764">
        <v>5.88</v>
      </c>
    </row>
    <row r="765" spans="1:6" x14ac:dyDescent="0.55000000000000004">
      <c r="A765">
        <v>8</v>
      </c>
      <c r="B765" s="15" t="str">
        <f t="shared" si="12"/>
        <v>8_6</v>
      </c>
      <c r="C765" t="s">
        <v>77</v>
      </c>
      <c r="D765" t="s">
        <v>78</v>
      </c>
      <c r="E765" t="s">
        <v>79</v>
      </c>
      <c r="F765">
        <v>12.6</v>
      </c>
    </row>
    <row r="766" spans="1:6" x14ac:dyDescent="0.55000000000000004">
      <c r="A766">
        <v>8</v>
      </c>
      <c r="B766" s="15" t="str">
        <f t="shared" si="12"/>
        <v>8_6</v>
      </c>
      <c r="C766" t="s">
        <v>77</v>
      </c>
      <c r="D766" t="s">
        <v>80</v>
      </c>
      <c r="E766" t="s">
        <v>81</v>
      </c>
      <c r="F766">
        <v>10.61</v>
      </c>
    </row>
    <row r="767" spans="1:6" x14ac:dyDescent="0.55000000000000004">
      <c r="A767">
        <v>8</v>
      </c>
      <c r="B767" s="15" t="str">
        <f t="shared" si="12"/>
        <v>8_6</v>
      </c>
      <c r="C767" t="s">
        <v>77</v>
      </c>
      <c r="D767" t="s">
        <v>82</v>
      </c>
      <c r="E767" t="s">
        <v>52</v>
      </c>
      <c r="F767">
        <v>99.9</v>
      </c>
    </row>
    <row r="768" spans="1:6" x14ac:dyDescent="0.55000000000000004">
      <c r="A768">
        <v>8</v>
      </c>
      <c r="B768" s="15" t="str">
        <f t="shared" si="12"/>
        <v>8_6</v>
      </c>
      <c r="C768" t="s">
        <v>77</v>
      </c>
      <c r="D768" t="s">
        <v>83</v>
      </c>
      <c r="E768" t="s">
        <v>84</v>
      </c>
      <c r="F768">
        <v>153.1</v>
      </c>
    </row>
    <row r="769" spans="1:6" x14ac:dyDescent="0.55000000000000004">
      <c r="A769">
        <v>8</v>
      </c>
      <c r="B769" s="15" t="str">
        <f t="shared" si="12"/>
        <v>8_6</v>
      </c>
      <c r="C769" t="str">
        <f>C768</f>
        <v>Chemical</v>
      </c>
      <c r="D769" t="s">
        <v>85</v>
      </c>
      <c r="E769" t="s">
        <v>84</v>
      </c>
      <c r="F769">
        <v>200.5</v>
      </c>
    </row>
    <row r="770" spans="1:6" x14ac:dyDescent="0.55000000000000004">
      <c r="A770">
        <v>8</v>
      </c>
      <c r="B770" s="15" t="str">
        <f t="shared" si="12"/>
        <v>8_6</v>
      </c>
      <c r="C770" t="s">
        <v>77</v>
      </c>
      <c r="D770" t="s">
        <v>86</v>
      </c>
      <c r="F770">
        <v>5.37</v>
      </c>
    </row>
    <row r="771" spans="1:6" x14ac:dyDescent="0.55000000000000004">
      <c r="A771">
        <v>9</v>
      </c>
      <c r="B771" s="15" t="str">
        <f t="shared" si="12"/>
        <v>9_6</v>
      </c>
      <c r="C771" t="s">
        <v>77</v>
      </c>
      <c r="D771" t="s">
        <v>78</v>
      </c>
      <c r="E771" t="s">
        <v>79</v>
      </c>
      <c r="F771">
        <v>11.2</v>
      </c>
    </row>
    <row r="772" spans="1:6" x14ac:dyDescent="0.55000000000000004">
      <c r="A772">
        <v>9</v>
      </c>
      <c r="B772" s="15" t="str">
        <f t="shared" si="12"/>
        <v>9_6</v>
      </c>
      <c r="C772" t="s">
        <v>77</v>
      </c>
      <c r="D772" t="s">
        <v>80</v>
      </c>
      <c r="E772" t="s">
        <v>81</v>
      </c>
      <c r="F772">
        <v>10.38</v>
      </c>
    </row>
    <row r="773" spans="1:6" x14ac:dyDescent="0.55000000000000004">
      <c r="A773">
        <v>9</v>
      </c>
      <c r="B773" s="15" t="str">
        <f t="shared" si="12"/>
        <v>9_6</v>
      </c>
      <c r="C773" t="s">
        <v>77</v>
      </c>
      <c r="D773" t="s">
        <v>82</v>
      </c>
      <c r="E773" t="s">
        <v>52</v>
      </c>
      <c r="F773">
        <v>94.6</v>
      </c>
    </row>
    <row r="774" spans="1:6" x14ac:dyDescent="0.55000000000000004">
      <c r="A774">
        <v>9</v>
      </c>
      <c r="B774" s="15" t="str">
        <f t="shared" si="12"/>
        <v>9_6</v>
      </c>
      <c r="C774" t="s">
        <v>77</v>
      </c>
      <c r="D774" t="s">
        <v>83</v>
      </c>
      <c r="E774" t="s">
        <v>84</v>
      </c>
      <c r="F774">
        <v>122.8</v>
      </c>
    </row>
    <row r="775" spans="1:6" x14ac:dyDescent="0.55000000000000004">
      <c r="A775">
        <v>9</v>
      </c>
      <c r="B775" s="15" t="str">
        <f t="shared" si="12"/>
        <v>9_6</v>
      </c>
      <c r="C775" t="str">
        <f>C774</f>
        <v>Chemical</v>
      </c>
      <c r="D775" t="s">
        <v>85</v>
      </c>
      <c r="E775" t="s">
        <v>84</v>
      </c>
      <c r="F775">
        <v>166.9</v>
      </c>
    </row>
    <row r="776" spans="1:6" x14ac:dyDescent="0.55000000000000004">
      <c r="A776">
        <v>9</v>
      </c>
      <c r="B776" s="15" t="str">
        <f t="shared" si="12"/>
        <v>9_6</v>
      </c>
      <c r="C776" t="s">
        <v>77</v>
      </c>
      <c r="D776" t="s">
        <v>86</v>
      </c>
      <c r="F776">
        <v>7.79</v>
      </c>
    </row>
    <row r="777" spans="1:6" x14ac:dyDescent="0.55000000000000004">
      <c r="A777">
        <v>10</v>
      </c>
      <c r="B777" s="15" t="str">
        <f t="shared" si="12"/>
        <v>10_6</v>
      </c>
      <c r="C777" t="s">
        <v>77</v>
      </c>
      <c r="D777" t="s">
        <v>78</v>
      </c>
      <c r="E777" t="s">
        <v>79</v>
      </c>
      <c r="F777">
        <v>11.2</v>
      </c>
    </row>
    <row r="778" spans="1:6" x14ac:dyDescent="0.55000000000000004">
      <c r="A778">
        <v>10</v>
      </c>
      <c r="B778" s="15" t="str">
        <f t="shared" si="12"/>
        <v>10_6</v>
      </c>
      <c r="C778" t="s">
        <v>77</v>
      </c>
      <c r="D778" t="s">
        <v>80</v>
      </c>
      <c r="E778" t="s">
        <v>81</v>
      </c>
      <c r="F778">
        <v>10.38</v>
      </c>
    </row>
    <row r="779" spans="1:6" x14ac:dyDescent="0.55000000000000004">
      <c r="A779">
        <v>10</v>
      </c>
      <c r="B779" s="15" t="str">
        <f t="shared" si="12"/>
        <v>10_6</v>
      </c>
      <c r="C779" t="s">
        <v>77</v>
      </c>
      <c r="D779" t="s">
        <v>82</v>
      </c>
      <c r="E779" t="s">
        <v>52</v>
      </c>
      <c r="F779">
        <v>94.6</v>
      </c>
    </row>
    <row r="780" spans="1:6" x14ac:dyDescent="0.55000000000000004">
      <c r="A780">
        <v>10</v>
      </c>
      <c r="B780" s="15" t="str">
        <f t="shared" si="12"/>
        <v>10_6</v>
      </c>
      <c r="C780" t="s">
        <v>77</v>
      </c>
      <c r="D780" t="s">
        <v>83</v>
      </c>
      <c r="E780" t="s">
        <v>84</v>
      </c>
      <c r="F780">
        <v>122.8</v>
      </c>
    </row>
    <row r="781" spans="1:6" x14ac:dyDescent="0.55000000000000004">
      <c r="A781">
        <v>10</v>
      </c>
      <c r="B781" s="15" t="str">
        <f t="shared" si="12"/>
        <v>10_6</v>
      </c>
      <c r="C781" t="str">
        <f>C780</f>
        <v>Chemical</v>
      </c>
      <c r="D781" t="s">
        <v>85</v>
      </c>
      <c r="E781" t="s">
        <v>84</v>
      </c>
      <c r="F781">
        <v>166.9</v>
      </c>
    </row>
    <row r="782" spans="1:6" x14ac:dyDescent="0.55000000000000004">
      <c r="A782">
        <v>10</v>
      </c>
      <c r="B782" s="15" t="str">
        <f t="shared" si="12"/>
        <v>10_6</v>
      </c>
      <c r="C782" t="s">
        <v>77</v>
      </c>
      <c r="D782" t="s">
        <v>86</v>
      </c>
      <c r="F782">
        <v>7.79</v>
      </c>
    </row>
    <row r="783" spans="1:6" x14ac:dyDescent="0.55000000000000004">
      <c r="A783">
        <v>11</v>
      </c>
      <c r="B783" s="15" t="str">
        <f t="shared" si="12"/>
        <v>11_6</v>
      </c>
      <c r="C783" t="s">
        <v>77</v>
      </c>
      <c r="D783" t="s">
        <v>78</v>
      </c>
      <c r="E783" t="s">
        <v>79</v>
      </c>
      <c r="F783">
        <v>11.4</v>
      </c>
    </row>
    <row r="784" spans="1:6" x14ac:dyDescent="0.55000000000000004">
      <c r="A784">
        <v>11</v>
      </c>
      <c r="B784" s="15" t="str">
        <f t="shared" si="12"/>
        <v>11_6</v>
      </c>
      <c r="C784" t="s">
        <v>77</v>
      </c>
      <c r="D784" t="s">
        <v>80</v>
      </c>
      <c r="E784" t="s">
        <v>81</v>
      </c>
      <c r="F784">
        <v>10.51</v>
      </c>
    </row>
    <row r="785" spans="1:6" x14ac:dyDescent="0.55000000000000004">
      <c r="A785">
        <v>11</v>
      </c>
      <c r="B785" s="15" t="str">
        <f t="shared" si="12"/>
        <v>11_6</v>
      </c>
      <c r="C785" t="s">
        <v>77</v>
      </c>
      <c r="D785" t="s">
        <v>82</v>
      </c>
      <c r="E785" t="s">
        <v>52</v>
      </c>
      <c r="F785">
        <v>96.2</v>
      </c>
    </row>
    <row r="786" spans="1:6" x14ac:dyDescent="0.55000000000000004">
      <c r="A786">
        <v>11</v>
      </c>
      <c r="B786" s="15" t="str">
        <f t="shared" si="12"/>
        <v>11_6</v>
      </c>
      <c r="C786" t="s">
        <v>77</v>
      </c>
      <c r="D786" t="s">
        <v>83</v>
      </c>
      <c r="E786" t="s">
        <v>84</v>
      </c>
      <c r="F786">
        <v>124.3</v>
      </c>
    </row>
    <row r="787" spans="1:6" x14ac:dyDescent="0.55000000000000004">
      <c r="A787">
        <v>11</v>
      </c>
      <c r="B787" s="15" t="str">
        <f t="shared" si="12"/>
        <v>11_6</v>
      </c>
      <c r="C787" t="str">
        <f>C786</f>
        <v>Chemical</v>
      </c>
      <c r="D787" t="s">
        <v>85</v>
      </c>
      <c r="E787" t="s">
        <v>84</v>
      </c>
      <c r="F787">
        <v>168</v>
      </c>
    </row>
    <row r="788" spans="1:6" x14ac:dyDescent="0.55000000000000004">
      <c r="A788">
        <v>11</v>
      </c>
      <c r="B788" s="15" t="str">
        <f t="shared" ref="B788:B842" si="13">A788 &amp; "_6"</f>
        <v>11_6</v>
      </c>
      <c r="C788" t="s">
        <v>77</v>
      </c>
      <c r="D788" t="s">
        <v>86</v>
      </c>
      <c r="F788">
        <v>6.99</v>
      </c>
    </row>
    <row r="789" spans="1:6" x14ac:dyDescent="0.55000000000000004">
      <c r="A789">
        <v>12</v>
      </c>
      <c r="B789" s="15" t="str">
        <f t="shared" si="13"/>
        <v>12_6</v>
      </c>
      <c r="C789" t="s">
        <v>77</v>
      </c>
      <c r="D789" t="s">
        <v>78</v>
      </c>
      <c r="E789" t="s">
        <v>79</v>
      </c>
      <c r="F789">
        <v>11.4</v>
      </c>
    </row>
    <row r="790" spans="1:6" x14ac:dyDescent="0.55000000000000004">
      <c r="A790">
        <v>12</v>
      </c>
      <c r="B790" s="15" t="str">
        <f t="shared" si="13"/>
        <v>12_6</v>
      </c>
      <c r="C790" t="s">
        <v>77</v>
      </c>
      <c r="D790" t="s">
        <v>80</v>
      </c>
      <c r="E790" t="s">
        <v>81</v>
      </c>
      <c r="F790">
        <v>10.51</v>
      </c>
    </row>
    <row r="791" spans="1:6" x14ac:dyDescent="0.55000000000000004">
      <c r="A791">
        <v>12</v>
      </c>
      <c r="B791" s="15" t="str">
        <f t="shared" si="13"/>
        <v>12_6</v>
      </c>
      <c r="C791" t="s">
        <v>77</v>
      </c>
      <c r="D791" t="s">
        <v>82</v>
      </c>
      <c r="E791" t="s">
        <v>52</v>
      </c>
      <c r="F791">
        <v>96.2</v>
      </c>
    </row>
    <row r="792" spans="1:6" x14ac:dyDescent="0.55000000000000004">
      <c r="A792">
        <v>12</v>
      </c>
      <c r="B792" s="15" t="str">
        <f t="shared" si="13"/>
        <v>12_6</v>
      </c>
      <c r="C792" t="s">
        <v>77</v>
      </c>
      <c r="D792" t="s">
        <v>83</v>
      </c>
      <c r="E792" t="s">
        <v>84</v>
      </c>
      <c r="F792">
        <v>124.3</v>
      </c>
    </row>
    <row r="793" spans="1:6" x14ac:dyDescent="0.55000000000000004">
      <c r="A793">
        <v>12</v>
      </c>
      <c r="B793" s="15" t="str">
        <f t="shared" si="13"/>
        <v>12_6</v>
      </c>
      <c r="C793" t="str">
        <f>C792</f>
        <v>Chemical</v>
      </c>
      <c r="D793" t="s">
        <v>85</v>
      </c>
      <c r="E793" t="s">
        <v>84</v>
      </c>
      <c r="F793">
        <v>168</v>
      </c>
    </row>
    <row r="794" spans="1:6" x14ac:dyDescent="0.55000000000000004">
      <c r="A794">
        <v>12</v>
      </c>
      <c r="B794" s="15" t="str">
        <f t="shared" si="13"/>
        <v>12_6</v>
      </c>
      <c r="C794" t="s">
        <v>77</v>
      </c>
      <c r="D794" t="s">
        <v>86</v>
      </c>
      <c r="F794">
        <v>6.99</v>
      </c>
    </row>
    <row r="795" spans="1:6" x14ac:dyDescent="0.55000000000000004">
      <c r="A795">
        <v>13</v>
      </c>
      <c r="B795" s="15" t="str">
        <f t="shared" si="13"/>
        <v>13_6</v>
      </c>
      <c r="C795" t="s">
        <v>77</v>
      </c>
      <c r="D795" t="s">
        <v>78</v>
      </c>
      <c r="E795" t="s">
        <v>79</v>
      </c>
      <c r="F795">
        <v>9.6999999999999993</v>
      </c>
    </row>
    <row r="796" spans="1:6" x14ac:dyDescent="0.55000000000000004">
      <c r="A796">
        <v>13</v>
      </c>
      <c r="B796" s="15" t="str">
        <f t="shared" si="13"/>
        <v>13_6</v>
      </c>
      <c r="C796" t="s">
        <v>77</v>
      </c>
      <c r="D796" t="s">
        <v>80</v>
      </c>
      <c r="E796" t="s">
        <v>81</v>
      </c>
      <c r="F796">
        <v>11.17</v>
      </c>
    </row>
    <row r="797" spans="1:6" x14ac:dyDescent="0.55000000000000004">
      <c r="A797">
        <v>13</v>
      </c>
      <c r="B797" s="15" t="str">
        <f t="shared" si="13"/>
        <v>13_6</v>
      </c>
      <c r="C797" t="s">
        <v>77</v>
      </c>
      <c r="D797" t="s">
        <v>82</v>
      </c>
      <c r="E797" t="s">
        <v>52</v>
      </c>
      <c r="F797">
        <v>98.4</v>
      </c>
    </row>
    <row r="798" spans="1:6" x14ac:dyDescent="0.55000000000000004">
      <c r="A798">
        <v>13</v>
      </c>
      <c r="B798" s="15" t="str">
        <f t="shared" si="13"/>
        <v>13_6</v>
      </c>
      <c r="C798" t="s">
        <v>77</v>
      </c>
      <c r="D798" t="s">
        <v>83</v>
      </c>
      <c r="E798" t="s">
        <v>84</v>
      </c>
      <c r="F798">
        <v>132.19999999999999</v>
      </c>
    </row>
    <row r="799" spans="1:6" x14ac:dyDescent="0.55000000000000004">
      <c r="A799">
        <v>13</v>
      </c>
      <c r="B799" s="15" t="str">
        <f t="shared" si="13"/>
        <v>13_6</v>
      </c>
      <c r="C799" t="str">
        <f>C798</f>
        <v>Chemical</v>
      </c>
      <c r="D799" t="s">
        <v>85</v>
      </c>
      <c r="E799" t="s">
        <v>84</v>
      </c>
      <c r="F799">
        <v>186.6</v>
      </c>
    </row>
    <row r="800" spans="1:6" x14ac:dyDescent="0.55000000000000004">
      <c r="A800">
        <v>13</v>
      </c>
      <c r="B800" s="15" t="str">
        <f t="shared" si="13"/>
        <v>13_6</v>
      </c>
      <c r="C800" t="s">
        <v>77</v>
      </c>
      <c r="D800" t="s">
        <v>86</v>
      </c>
      <c r="F800">
        <v>7.57</v>
      </c>
    </row>
    <row r="801" spans="1:6" x14ac:dyDescent="0.55000000000000004">
      <c r="A801">
        <v>14</v>
      </c>
      <c r="B801" s="15" t="str">
        <f t="shared" si="13"/>
        <v>14_6</v>
      </c>
      <c r="C801" t="s">
        <v>77</v>
      </c>
      <c r="D801" t="s">
        <v>78</v>
      </c>
      <c r="E801" t="s">
        <v>79</v>
      </c>
      <c r="F801">
        <v>9.6999999999999993</v>
      </c>
    </row>
    <row r="802" spans="1:6" x14ac:dyDescent="0.55000000000000004">
      <c r="A802">
        <v>14</v>
      </c>
      <c r="B802" s="15" t="str">
        <f t="shared" si="13"/>
        <v>14_6</v>
      </c>
      <c r="C802" t="s">
        <v>77</v>
      </c>
      <c r="D802" t="s">
        <v>80</v>
      </c>
      <c r="E802" t="s">
        <v>81</v>
      </c>
      <c r="F802">
        <v>11.17</v>
      </c>
    </row>
    <row r="803" spans="1:6" x14ac:dyDescent="0.55000000000000004">
      <c r="A803">
        <v>14</v>
      </c>
      <c r="B803" s="15" t="str">
        <f t="shared" si="13"/>
        <v>14_6</v>
      </c>
      <c r="C803" t="s">
        <v>77</v>
      </c>
      <c r="D803" t="s">
        <v>82</v>
      </c>
      <c r="E803" t="s">
        <v>52</v>
      </c>
      <c r="F803">
        <v>98.4</v>
      </c>
    </row>
    <row r="804" spans="1:6" x14ac:dyDescent="0.55000000000000004">
      <c r="A804">
        <v>14</v>
      </c>
      <c r="B804" s="15" t="str">
        <f t="shared" si="13"/>
        <v>14_6</v>
      </c>
      <c r="C804" t="s">
        <v>77</v>
      </c>
      <c r="D804" t="s">
        <v>83</v>
      </c>
      <c r="E804" t="s">
        <v>84</v>
      </c>
      <c r="F804">
        <v>132.19999999999999</v>
      </c>
    </row>
    <row r="805" spans="1:6" x14ac:dyDescent="0.55000000000000004">
      <c r="A805">
        <v>14</v>
      </c>
      <c r="B805" s="15" t="str">
        <f t="shared" si="13"/>
        <v>14_6</v>
      </c>
      <c r="C805" t="str">
        <f>C804</f>
        <v>Chemical</v>
      </c>
      <c r="D805" t="s">
        <v>85</v>
      </c>
      <c r="E805" t="s">
        <v>84</v>
      </c>
      <c r="F805">
        <v>186.6</v>
      </c>
    </row>
    <row r="806" spans="1:6" x14ac:dyDescent="0.55000000000000004">
      <c r="A806">
        <v>14</v>
      </c>
      <c r="B806" s="15" t="str">
        <f t="shared" si="13"/>
        <v>14_6</v>
      </c>
      <c r="C806" t="s">
        <v>77</v>
      </c>
      <c r="D806" t="s">
        <v>86</v>
      </c>
      <c r="F806">
        <v>7.57</v>
      </c>
    </row>
    <row r="807" spans="1:6" x14ac:dyDescent="0.55000000000000004">
      <c r="A807">
        <v>15</v>
      </c>
      <c r="B807" s="15" t="str">
        <f t="shared" si="13"/>
        <v>15_6</v>
      </c>
      <c r="C807" t="s">
        <v>77</v>
      </c>
      <c r="D807" t="s">
        <v>78</v>
      </c>
      <c r="E807" t="s">
        <v>79</v>
      </c>
      <c r="F807">
        <v>10.5</v>
      </c>
    </row>
    <row r="808" spans="1:6" x14ac:dyDescent="0.55000000000000004">
      <c r="A808">
        <v>15</v>
      </c>
      <c r="B808" s="15" t="str">
        <f t="shared" si="13"/>
        <v>15_6</v>
      </c>
      <c r="C808" t="s">
        <v>77</v>
      </c>
      <c r="D808" t="s">
        <v>80</v>
      </c>
      <c r="E808" t="s">
        <v>81</v>
      </c>
      <c r="F808">
        <v>10.9</v>
      </c>
    </row>
    <row r="809" spans="1:6" x14ac:dyDescent="0.55000000000000004">
      <c r="A809">
        <v>15</v>
      </c>
      <c r="B809" s="15" t="str">
        <f t="shared" si="13"/>
        <v>15_6</v>
      </c>
      <c r="C809" t="s">
        <v>77</v>
      </c>
      <c r="D809" t="s">
        <v>82</v>
      </c>
      <c r="E809" t="s">
        <v>52</v>
      </c>
      <c r="F809">
        <v>97.6</v>
      </c>
    </row>
    <row r="810" spans="1:6" x14ac:dyDescent="0.55000000000000004">
      <c r="A810">
        <v>15</v>
      </c>
      <c r="B810" s="15" t="str">
        <f t="shared" si="13"/>
        <v>15_6</v>
      </c>
      <c r="C810" t="s">
        <v>77</v>
      </c>
      <c r="D810" t="s">
        <v>83</v>
      </c>
      <c r="E810" t="s">
        <v>84</v>
      </c>
      <c r="F810">
        <v>122.2</v>
      </c>
    </row>
    <row r="811" spans="1:6" x14ac:dyDescent="0.55000000000000004">
      <c r="A811">
        <v>15</v>
      </c>
      <c r="B811" s="15" t="str">
        <f t="shared" si="13"/>
        <v>15_6</v>
      </c>
      <c r="C811" t="str">
        <f>C810</f>
        <v>Chemical</v>
      </c>
      <c r="D811" t="s">
        <v>85</v>
      </c>
      <c r="E811" t="s">
        <v>84</v>
      </c>
      <c r="F811">
        <v>169.2</v>
      </c>
    </row>
    <row r="812" spans="1:6" x14ac:dyDescent="0.55000000000000004">
      <c r="A812">
        <v>15</v>
      </c>
      <c r="B812" s="15" t="str">
        <f t="shared" si="13"/>
        <v>15_6</v>
      </c>
      <c r="C812" t="s">
        <v>77</v>
      </c>
      <c r="D812" t="s">
        <v>86</v>
      </c>
      <c r="F812">
        <v>8.98</v>
      </c>
    </row>
    <row r="813" spans="1:6" x14ac:dyDescent="0.55000000000000004">
      <c r="A813">
        <v>16</v>
      </c>
      <c r="B813" s="15" t="str">
        <f t="shared" si="13"/>
        <v>16_6</v>
      </c>
      <c r="C813" t="s">
        <v>77</v>
      </c>
      <c r="D813" t="s">
        <v>78</v>
      </c>
      <c r="E813" t="s">
        <v>79</v>
      </c>
      <c r="F813">
        <v>10.4</v>
      </c>
    </row>
    <row r="814" spans="1:6" x14ac:dyDescent="0.55000000000000004">
      <c r="A814">
        <v>16</v>
      </c>
      <c r="B814" s="15" t="str">
        <f t="shared" si="13"/>
        <v>16_6</v>
      </c>
      <c r="C814" t="s">
        <v>77</v>
      </c>
      <c r="D814" t="s">
        <v>80</v>
      </c>
      <c r="E814" t="s">
        <v>81</v>
      </c>
      <c r="F814">
        <v>10.78</v>
      </c>
    </row>
    <row r="815" spans="1:6" x14ac:dyDescent="0.55000000000000004">
      <c r="A815">
        <v>16</v>
      </c>
      <c r="B815" s="15" t="str">
        <f t="shared" si="13"/>
        <v>16_6</v>
      </c>
      <c r="C815" t="s">
        <v>77</v>
      </c>
      <c r="D815" t="s">
        <v>82</v>
      </c>
      <c r="E815" t="s">
        <v>52</v>
      </c>
      <c r="F815">
        <v>96.6</v>
      </c>
    </row>
    <row r="816" spans="1:6" x14ac:dyDescent="0.55000000000000004">
      <c r="A816">
        <v>16</v>
      </c>
      <c r="B816" s="15" t="str">
        <f t="shared" si="13"/>
        <v>16_6</v>
      </c>
      <c r="C816" t="s">
        <v>77</v>
      </c>
      <c r="D816" t="s">
        <v>83</v>
      </c>
      <c r="E816" t="s">
        <v>84</v>
      </c>
      <c r="F816">
        <v>122</v>
      </c>
    </row>
    <row r="817" spans="1:6" x14ac:dyDescent="0.55000000000000004">
      <c r="A817">
        <v>16</v>
      </c>
      <c r="B817" s="15" t="str">
        <f t="shared" si="13"/>
        <v>16_6</v>
      </c>
      <c r="C817" t="str">
        <f>C816</f>
        <v>Chemical</v>
      </c>
      <c r="D817" t="s">
        <v>85</v>
      </c>
      <c r="E817" t="s">
        <v>84</v>
      </c>
      <c r="F817">
        <v>169</v>
      </c>
    </row>
    <row r="818" spans="1:6" x14ac:dyDescent="0.55000000000000004">
      <c r="A818">
        <v>16</v>
      </c>
      <c r="B818" s="15" t="str">
        <f t="shared" si="13"/>
        <v>16_6</v>
      </c>
      <c r="C818" t="s">
        <v>77</v>
      </c>
      <c r="D818" t="s">
        <v>86</v>
      </c>
      <c r="F818">
        <v>8.3800000000000008</v>
      </c>
    </row>
    <row r="819" spans="1:6" x14ac:dyDescent="0.55000000000000004">
      <c r="A819">
        <v>17</v>
      </c>
      <c r="B819" s="15" t="str">
        <f t="shared" si="13"/>
        <v>17_6</v>
      </c>
      <c r="C819" t="s">
        <v>77</v>
      </c>
      <c r="D819" t="s">
        <v>78</v>
      </c>
      <c r="E819" t="s">
        <v>79</v>
      </c>
      <c r="F819">
        <v>11.1</v>
      </c>
    </row>
    <row r="820" spans="1:6" x14ac:dyDescent="0.55000000000000004">
      <c r="A820">
        <v>17</v>
      </c>
      <c r="B820" s="15" t="str">
        <f t="shared" si="13"/>
        <v>17_6</v>
      </c>
      <c r="C820" t="s">
        <v>77</v>
      </c>
      <c r="D820" t="s">
        <v>80</v>
      </c>
      <c r="E820" t="s">
        <v>81</v>
      </c>
      <c r="F820">
        <v>10.33</v>
      </c>
    </row>
    <row r="821" spans="1:6" x14ac:dyDescent="0.55000000000000004">
      <c r="A821">
        <v>17</v>
      </c>
      <c r="B821" s="15" t="str">
        <f t="shared" si="13"/>
        <v>17_6</v>
      </c>
      <c r="C821" t="s">
        <v>77</v>
      </c>
      <c r="D821" t="s">
        <v>82</v>
      </c>
      <c r="E821" t="s">
        <v>52</v>
      </c>
      <c r="F821">
        <v>93.9</v>
      </c>
    </row>
    <row r="822" spans="1:6" x14ac:dyDescent="0.55000000000000004">
      <c r="A822">
        <v>17</v>
      </c>
      <c r="B822" s="15" t="str">
        <f t="shared" si="13"/>
        <v>17_6</v>
      </c>
      <c r="C822" t="s">
        <v>77</v>
      </c>
      <c r="D822" t="s">
        <v>83</v>
      </c>
      <c r="E822" t="s">
        <v>84</v>
      </c>
      <c r="F822">
        <v>122.7</v>
      </c>
    </row>
    <row r="823" spans="1:6" x14ac:dyDescent="0.55000000000000004">
      <c r="A823">
        <v>17</v>
      </c>
      <c r="B823" s="15" t="str">
        <f t="shared" si="13"/>
        <v>17_6</v>
      </c>
      <c r="C823" t="str">
        <f>C822</f>
        <v>Chemical</v>
      </c>
      <c r="D823" t="s">
        <v>85</v>
      </c>
      <c r="E823" t="s">
        <v>84</v>
      </c>
      <c r="F823">
        <v>167.1</v>
      </c>
    </row>
    <row r="824" spans="1:6" x14ac:dyDescent="0.55000000000000004">
      <c r="A824">
        <v>17</v>
      </c>
      <c r="B824" s="15" t="str">
        <f t="shared" si="13"/>
        <v>17_6</v>
      </c>
      <c r="C824" t="s">
        <v>77</v>
      </c>
      <c r="D824" t="s">
        <v>86</v>
      </c>
      <c r="F824">
        <v>6.88</v>
      </c>
    </row>
    <row r="825" spans="1:6" x14ac:dyDescent="0.55000000000000004">
      <c r="A825">
        <v>18</v>
      </c>
      <c r="B825" s="15" t="str">
        <f t="shared" si="13"/>
        <v>18_6</v>
      </c>
      <c r="C825" t="s">
        <v>77</v>
      </c>
      <c r="D825" t="s">
        <v>78</v>
      </c>
      <c r="E825" t="s">
        <v>79</v>
      </c>
      <c r="F825">
        <v>11.1</v>
      </c>
    </row>
    <row r="826" spans="1:6" x14ac:dyDescent="0.55000000000000004">
      <c r="A826">
        <v>18</v>
      </c>
      <c r="B826" s="15" t="str">
        <f t="shared" si="13"/>
        <v>18_6</v>
      </c>
      <c r="C826" t="s">
        <v>77</v>
      </c>
      <c r="D826" t="s">
        <v>80</v>
      </c>
      <c r="E826" t="s">
        <v>81</v>
      </c>
      <c r="F826">
        <v>10.33</v>
      </c>
    </row>
    <row r="827" spans="1:6" x14ac:dyDescent="0.55000000000000004">
      <c r="A827">
        <v>18</v>
      </c>
      <c r="B827" s="15" t="str">
        <f t="shared" si="13"/>
        <v>18_6</v>
      </c>
      <c r="C827" t="s">
        <v>77</v>
      </c>
      <c r="D827" t="s">
        <v>82</v>
      </c>
      <c r="E827" t="s">
        <v>52</v>
      </c>
      <c r="F827">
        <v>93.9</v>
      </c>
    </row>
    <row r="828" spans="1:6" x14ac:dyDescent="0.55000000000000004">
      <c r="A828">
        <v>18</v>
      </c>
      <c r="B828" s="15" t="str">
        <f t="shared" si="13"/>
        <v>18_6</v>
      </c>
      <c r="C828" t="s">
        <v>77</v>
      </c>
      <c r="D828" t="s">
        <v>83</v>
      </c>
      <c r="E828" t="s">
        <v>84</v>
      </c>
      <c r="F828">
        <v>122.7</v>
      </c>
    </row>
    <row r="829" spans="1:6" x14ac:dyDescent="0.55000000000000004">
      <c r="A829">
        <v>18</v>
      </c>
      <c r="B829" s="15" t="str">
        <f t="shared" si="13"/>
        <v>18_6</v>
      </c>
      <c r="C829" t="str">
        <f>C828</f>
        <v>Chemical</v>
      </c>
      <c r="D829" t="s">
        <v>85</v>
      </c>
      <c r="E829" t="s">
        <v>84</v>
      </c>
      <c r="F829">
        <v>167.1</v>
      </c>
    </row>
    <row r="830" spans="1:6" x14ac:dyDescent="0.55000000000000004">
      <c r="A830">
        <v>18</v>
      </c>
      <c r="B830" s="15" t="str">
        <f t="shared" si="13"/>
        <v>18_6</v>
      </c>
      <c r="C830" t="s">
        <v>77</v>
      </c>
      <c r="D830" t="s">
        <v>86</v>
      </c>
      <c r="F830">
        <v>6.88</v>
      </c>
    </row>
    <row r="831" spans="1:6" x14ac:dyDescent="0.55000000000000004">
      <c r="A831">
        <v>19</v>
      </c>
      <c r="B831" s="15" t="str">
        <f t="shared" si="13"/>
        <v>19_6</v>
      </c>
      <c r="C831" t="s">
        <v>77</v>
      </c>
      <c r="D831" t="s">
        <v>78</v>
      </c>
      <c r="E831" t="s">
        <v>79</v>
      </c>
      <c r="F831">
        <v>11.1</v>
      </c>
    </row>
    <row r="832" spans="1:6" x14ac:dyDescent="0.55000000000000004">
      <c r="A832">
        <v>19</v>
      </c>
      <c r="B832" s="15" t="str">
        <f t="shared" si="13"/>
        <v>19_6</v>
      </c>
      <c r="C832" t="s">
        <v>77</v>
      </c>
      <c r="D832" t="s">
        <v>80</v>
      </c>
      <c r="E832" t="s">
        <v>81</v>
      </c>
      <c r="F832">
        <v>10.72</v>
      </c>
    </row>
    <row r="833" spans="1:6" x14ac:dyDescent="0.55000000000000004">
      <c r="A833">
        <v>19</v>
      </c>
      <c r="B833" s="15" t="str">
        <f t="shared" si="13"/>
        <v>19_6</v>
      </c>
      <c r="C833" t="s">
        <v>77</v>
      </c>
      <c r="D833" t="s">
        <v>82</v>
      </c>
      <c r="E833" t="s">
        <v>52</v>
      </c>
      <c r="F833">
        <v>97.4</v>
      </c>
    </row>
    <row r="834" spans="1:6" x14ac:dyDescent="0.55000000000000004">
      <c r="A834">
        <v>19</v>
      </c>
      <c r="B834" s="15" t="str">
        <f t="shared" si="13"/>
        <v>19_6</v>
      </c>
      <c r="C834" t="s">
        <v>77</v>
      </c>
      <c r="D834" t="s">
        <v>83</v>
      </c>
      <c r="E834" t="s">
        <v>84</v>
      </c>
      <c r="F834">
        <v>116</v>
      </c>
    </row>
    <row r="835" spans="1:6" x14ac:dyDescent="0.55000000000000004">
      <c r="A835">
        <v>19</v>
      </c>
      <c r="B835" s="15" t="str">
        <f t="shared" si="13"/>
        <v>19_6</v>
      </c>
      <c r="C835" t="str">
        <f>C834</f>
        <v>Chemical</v>
      </c>
      <c r="D835" t="s">
        <v>85</v>
      </c>
      <c r="E835" t="s">
        <v>84</v>
      </c>
      <c r="F835">
        <v>158.1</v>
      </c>
    </row>
    <row r="836" spans="1:6" x14ac:dyDescent="0.55000000000000004">
      <c r="A836">
        <v>19</v>
      </c>
      <c r="B836" s="15" t="str">
        <f t="shared" si="13"/>
        <v>19_6</v>
      </c>
      <c r="C836" t="s">
        <v>77</v>
      </c>
      <c r="D836" t="s">
        <v>86</v>
      </c>
      <c r="F836">
        <v>7.04</v>
      </c>
    </row>
    <row r="837" spans="1:6" x14ac:dyDescent="0.55000000000000004">
      <c r="A837">
        <v>20</v>
      </c>
      <c r="B837" s="15" t="str">
        <f t="shared" si="13"/>
        <v>20_6</v>
      </c>
      <c r="C837" t="s">
        <v>77</v>
      </c>
      <c r="D837" t="s">
        <v>78</v>
      </c>
      <c r="E837" t="s">
        <v>79</v>
      </c>
      <c r="F837">
        <v>11.1</v>
      </c>
    </row>
    <row r="838" spans="1:6" x14ac:dyDescent="0.55000000000000004">
      <c r="A838">
        <v>20</v>
      </c>
      <c r="B838" s="15" t="str">
        <f t="shared" si="13"/>
        <v>20_6</v>
      </c>
      <c r="C838" t="s">
        <v>77</v>
      </c>
      <c r="D838" t="s">
        <v>80</v>
      </c>
      <c r="E838" t="s">
        <v>81</v>
      </c>
      <c r="F838">
        <v>10.69</v>
      </c>
    </row>
    <row r="839" spans="1:6" x14ac:dyDescent="0.55000000000000004">
      <c r="A839">
        <v>20</v>
      </c>
      <c r="B839" s="15" t="str">
        <f t="shared" si="13"/>
        <v>20_6</v>
      </c>
      <c r="C839" t="s">
        <v>77</v>
      </c>
      <c r="D839" t="s">
        <v>82</v>
      </c>
      <c r="E839" t="s">
        <v>52</v>
      </c>
      <c r="F839">
        <v>97.2</v>
      </c>
    </row>
    <row r="840" spans="1:6" x14ac:dyDescent="0.55000000000000004">
      <c r="A840">
        <v>20</v>
      </c>
      <c r="B840" s="15" t="str">
        <f t="shared" si="13"/>
        <v>20_6</v>
      </c>
      <c r="C840" t="s">
        <v>77</v>
      </c>
      <c r="D840" t="s">
        <v>83</v>
      </c>
      <c r="E840" t="s">
        <v>84</v>
      </c>
      <c r="F840">
        <v>116.6</v>
      </c>
    </row>
    <row r="841" spans="1:6" x14ac:dyDescent="0.55000000000000004">
      <c r="A841">
        <v>20</v>
      </c>
      <c r="B841" s="15" t="str">
        <f t="shared" si="13"/>
        <v>20_6</v>
      </c>
      <c r="C841" t="str">
        <f>C840</f>
        <v>Chemical</v>
      </c>
      <c r="D841" t="s">
        <v>85</v>
      </c>
      <c r="E841" t="s">
        <v>84</v>
      </c>
      <c r="F841">
        <v>158.80000000000001</v>
      </c>
    </row>
    <row r="842" spans="1:6" x14ac:dyDescent="0.55000000000000004">
      <c r="A842">
        <v>20</v>
      </c>
      <c r="B842" s="15" t="str">
        <f t="shared" si="13"/>
        <v>20_6</v>
      </c>
      <c r="C842" t="s">
        <v>77</v>
      </c>
      <c r="D842" t="s">
        <v>86</v>
      </c>
      <c r="F842">
        <v>7.04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421"/>
  <sheetViews>
    <sheetView workbookViewId="0">
      <pane xSplit="2" ySplit="1" topLeftCell="C388" activePane="bottomRight" state="frozen"/>
      <selection pane="topRight" activeCell="D1" sqref="D1"/>
      <selection pane="bottomLeft" activeCell="A2" sqref="A2"/>
      <selection pane="bottomRight" activeCell="G404" sqref="G404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0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417" si="19">VLOOKUP($D354, $K$3:$M$18, 2, FALSE)</f>
        <v>#N/A</v>
      </c>
      <c r="F354" t="e">
        <f t="shared" ref="F354:F417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  <row r="362" spans="1:7" x14ac:dyDescent="0.55000000000000004">
      <c r="A362">
        <v>1</v>
      </c>
      <c r="B362" t="str">
        <f>A362 &amp; "_5"</f>
        <v>1_5</v>
      </c>
      <c r="C362" t="s">
        <v>93</v>
      </c>
      <c r="E362" t="e">
        <f t="shared" si="19"/>
        <v>#N/A</v>
      </c>
      <c r="F362" t="e">
        <f t="shared" si="20"/>
        <v>#N/A</v>
      </c>
      <c r="G362">
        <v>0</v>
      </c>
    </row>
    <row r="363" spans="1:7" x14ac:dyDescent="0.55000000000000004">
      <c r="A363">
        <v>1</v>
      </c>
      <c r="B363" t="str">
        <f t="shared" ref="B363:B421" si="21">A363 &amp; "_5"</f>
        <v>1_5</v>
      </c>
      <c r="C363" t="s">
        <v>94</v>
      </c>
      <c r="E363" t="e">
        <f t="shared" si="19"/>
        <v>#N/A</v>
      </c>
      <c r="F363" t="e">
        <f t="shared" si="20"/>
        <v>#N/A</v>
      </c>
      <c r="G363">
        <v>0</v>
      </c>
    </row>
    <row r="364" spans="1:7" x14ac:dyDescent="0.55000000000000004">
      <c r="A364">
        <v>1</v>
      </c>
      <c r="B364" t="str">
        <f t="shared" si="21"/>
        <v>1_5</v>
      </c>
      <c r="C364" t="s">
        <v>98</v>
      </c>
      <c r="E364" t="e">
        <f t="shared" si="19"/>
        <v>#N/A</v>
      </c>
      <c r="F364" t="e">
        <f t="shared" si="20"/>
        <v>#N/A</v>
      </c>
      <c r="G364">
        <v>0</v>
      </c>
    </row>
    <row r="365" spans="1:7" x14ac:dyDescent="0.55000000000000004">
      <c r="A365">
        <v>2</v>
      </c>
      <c r="B365" t="str">
        <f t="shared" si="21"/>
        <v>2_5</v>
      </c>
      <c r="C365" t="s">
        <v>93</v>
      </c>
      <c r="E365" t="e">
        <f t="shared" si="19"/>
        <v>#N/A</v>
      </c>
      <c r="F365" t="e">
        <f t="shared" si="20"/>
        <v>#N/A</v>
      </c>
      <c r="G365">
        <v>0</v>
      </c>
    </row>
    <row r="366" spans="1:7" x14ac:dyDescent="0.55000000000000004">
      <c r="A366">
        <v>2</v>
      </c>
      <c r="B366" t="str">
        <f t="shared" si="21"/>
        <v>2_5</v>
      </c>
      <c r="C366" t="s">
        <v>94</v>
      </c>
      <c r="E366" t="e">
        <f t="shared" si="19"/>
        <v>#N/A</v>
      </c>
      <c r="F366" t="e">
        <f t="shared" si="20"/>
        <v>#N/A</v>
      </c>
      <c r="G366">
        <v>0</v>
      </c>
    </row>
    <row r="367" spans="1:7" x14ac:dyDescent="0.55000000000000004">
      <c r="A367">
        <v>2</v>
      </c>
      <c r="B367" t="str">
        <f t="shared" si="21"/>
        <v>2_5</v>
      </c>
      <c r="C367" t="s">
        <v>98</v>
      </c>
      <c r="E367" t="e">
        <f t="shared" si="19"/>
        <v>#N/A</v>
      </c>
      <c r="F367" t="e">
        <f t="shared" si="20"/>
        <v>#N/A</v>
      </c>
      <c r="G367">
        <v>0</v>
      </c>
    </row>
    <row r="368" spans="1:7" x14ac:dyDescent="0.55000000000000004">
      <c r="A368">
        <v>3</v>
      </c>
      <c r="B368" t="str">
        <f t="shared" si="21"/>
        <v>3_5</v>
      </c>
      <c r="C368" t="s">
        <v>93</v>
      </c>
      <c r="E368" t="e">
        <f t="shared" si="19"/>
        <v>#N/A</v>
      </c>
      <c r="F368" t="e">
        <f t="shared" si="20"/>
        <v>#N/A</v>
      </c>
      <c r="G368">
        <v>0</v>
      </c>
    </row>
    <row r="369" spans="1:7" x14ac:dyDescent="0.55000000000000004">
      <c r="A369">
        <v>3</v>
      </c>
      <c r="B369" t="str">
        <f t="shared" si="21"/>
        <v>3_5</v>
      </c>
      <c r="C369" t="s">
        <v>94</v>
      </c>
      <c r="E369" t="e">
        <f t="shared" si="19"/>
        <v>#N/A</v>
      </c>
      <c r="F369" t="e">
        <f t="shared" si="20"/>
        <v>#N/A</v>
      </c>
      <c r="G369">
        <v>0</v>
      </c>
    </row>
    <row r="370" spans="1:7" x14ac:dyDescent="0.55000000000000004">
      <c r="A370">
        <v>3</v>
      </c>
      <c r="B370" t="str">
        <f t="shared" si="21"/>
        <v>3_5</v>
      </c>
      <c r="C370" t="s">
        <v>98</v>
      </c>
      <c r="E370" t="e">
        <f t="shared" si="19"/>
        <v>#N/A</v>
      </c>
      <c r="F370" t="e">
        <f t="shared" si="20"/>
        <v>#N/A</v>
      </c>
      <c r="G370">
        <v>0</v>
      </c>
    </row>
    <row r="371" spans="1:7" x14ac:dyDescent="0.55000000000000004">
      <c r="A371">
        <v>4</v>
      </c>
      <c r="B371" t="str">
        <f t="shared" si="21"/>
        <v>4_5</v>
      </c>
      <c r="C371" t="s">
        <v>93</v>
      </c>
      <c r="E371" t="e">
        <f t="shared" si="19"/>
        <v>#N/A</v>
      </c>
      <c r="F371" t="e">
        <f t="shared" si="20"/>
        <v>#N/A</v>
      </c>
      <c r="G371">
        <v>0</v>
      </c>
    </row>
    <row r="372" spans="1:7" x14ac:dyDescent="0.55000000000000004">
      <c r="A372">
        <v>4</v>
      </c>
      <c r="B372" t="str">
        <f t="shared" si="21"/>
        <v>4_5</v>
      </c>
      <c r="C372" t="s">
        <v>94</v>
      </c>
      <c r="E372" t="e">
        <f t="shared" si="19"/>
        <v>#N/A</v>
      </c>
      <c r="F372" t="e">
        <f t="shared" si="20"/>
        <v>#N/A</v>
      </c>
      <c r="G372">
        <v>0</v>
      </c>
    </row>
    <row r="373" spans="1:7" x14ac:dyDescent="0.55000000000000004">
      <c r="A373">
        <v>4</v>
      </c>
      <c r="B373" t="str">
        <f t="shared" si="21"/>
        <v>4_5</v>
      </c>
      <c r="C373" t="s">
        <v>98</v>
      </c>
      <c r="E373" t="e">
        <f t="shared" si="19"/>
        <v>#N/A</v>
      </c>
      <c r="F373" t="e">
        <f t="shared" si="20"/>
        <v>#N/A</v>
      </c>
      <c r="G373">
        <v>0</v>
      </c>
    </row>
    <row r="374" spans="1:7" x14ac:dyDescent="0.55000000000000004">
      <c r="A374">
        <v>5</v>
      </c>
      <c r="B374" t="str">
        <f t="shared" si="21"/>
        <v>5_5</v>
      </c>
      <c r="C374" t="s">
        <v>93</v>
      </c>
      <c r="D374" t="s">
        <v>103</v>
      </c>
      <c r="E374" t="str">
        <f t="shared" si="19"/>
        <v>Nymphaea spp.</v>
      </c>
      <c r="F374" t="str">
        <f t="shared" si="20"/>
        <v>Non_Native</v>
      </c>
      <c r="G374">
        <v>0</v>
      </c>
    </row>
    <row r="375" spans="1:7" x14ac:dyDescent="0.55000000000000004">
      <c r="A375">
        <v>5</v>
      </c>
      <c r="B375" t="str">
        <f t="shared" si="21"/>
        <v>5_5</v>
      </c>
      <c r="C375" t="s">
        <v>94</v>
      </c>
      <c r="D375" t="s">
        <v>74</v>
      </c>
      <c r="E375" t="str">
        <f t="shared" si="19"/>
        <v>Ceratophyllum demersum</v>
      </c>
      <c r="F375" t="str">
        <f t="shared" si="20"/>
        <v>Non_Native</v>
      </c>
      <c r="G375">
        <v>70</v>
      </c>
    </row>
    <row r="376" spans="1:7" x14ac:dyDescent="0.55000000000000004">
      <c r="A376">
        <v>5</v>
      </c>
      <c r="B376" t="str">
        <f t="shared" si="21"/>
        <v>5_5</v>
      </c>
      <c r="C376" t="s">
        <v>98</v>
      </c>
      <c r="E376" t="e">
        <f t="shared" si="19"/>
        <v>#N/A</v>
      </c>
      <c r="F376" t="e">
        <f t="shared" si="20"/>
        <v>#N/A</v>
      </c>
      <c r="G376">
        <v>0</v>
      </c>
    </row>
    <row r="377" spans="1:7" x14ac:dyDescent="0.55000000000000004">
      <c r="A377">
        <v>6</v>
      </c>
      <c r="B377" t="str">
        <f t="shared" si="21"/>
        <v>6_5</v>
      </c>
      <c r="C377" t="s">
        <v>93</v>
      </c>
      <c r="D377" t="s">
        <v>95</v>
      </c>
      <c r="E377" t="str">
        <f t="shared" si="19"/>
        <v>Typha orientalis</v>
      </c>
      <c r="F377" t="str">
        <f t="shared" si="20"/>
        <v>Native</v>
      </c>
      <c r="G377">
        <v>10</v>
      </c>
    </row>
    <row r="378" spans="1:7" x14ac:dyDescent="0.55000000000000004">
      <c r="A378">
        <v>6</v>
      </c>
      <c r="B378" t="str">
        <f t="shared" si="21"/>
        <v>6_5</v>
      </c>
      <c r="C378" t="s">
        <v>94</v>
      </c>
      <c r="D378" t="s">
        <v>74</v>
      </c>
      <c r="E378" t="str">
        <f t="shared" si="19"/>
        <v>Ceratophyllum demersum</v>
      </c>
      <c r="F378" t="str">
        <f t="shared" si="20"/>
        <v>Non_Native</v>
      </c>
      <c r="G378" s="40">
        <v>100</v>
      </c>
    </row>
    <row r="379" spans="1:7" x14ac:dyDescent="0.55000000000000004">
      <c r="A379">
        <v>6</v>
      </c>
      <c r="B379" t="str">
        <f t="shared" si="21"/>
        <v>6_5</v>
      </c>
      <c r="C379" t="s">
        <v>98</v>
      </c>
      <c r="E379" t="e">
        <f t="shared" si="19"/>
        <v>#N/A</v>
      </c>
      <c r="F379" t="e">
        <f t="shared" si="20"/>
        <v>#N/A</v>
      </c>
      <c r="G379">
        <v>0</v>
      </c>
    </row>
    <row r="380" spans="1:7" x14ac:dyDescent="0.55000000000000004">
      <c r="A380">
        <v>7</v>
      </c>
      <c r="B380" t="str">
        <f t="shared" si="21"/>
        <v>7_5</v>
      </c>
      <c r="C380" t="s">
        <v>93</v>
      </c>
      <c r="E380" t="e">
        <f t="shared" si="19"/>
        <v>#N/A</v>
      </c>
      <c r="F380" t="e">
        <f t="shared" si="20"/>
        <v>#N/A</v>
      </c>
      <c r="G380">
        <v>0</v>
      </c>
    </row>
    <row r="381" spans="1:7" x14ac:dyDescent="0.55000000000000004">
      <c r="A381">
        <v>7</v>
      </c>
      <c r="B381" t="str">
        <f t="shared" si="21"/>
        <v>7_5</v>
      </c>
      <c r="C381" t="s">
        <v>94</v>
      </c>
      <c r="D381" t="s">
        <v>121</v>
      </c>
      <c r="E381" t="str">
        <f t="shared" si="19"/>
        <v>Ludwigia repens</v>
      </c>
      <c r="F381" t="str">
        <f t="shared" si="20"/>
        <v>Non_Native</v>
      </c>
      <c r="G381">
        <v>0</v>
      </c>
    </row>
    <row r="382" spans="1:7" x14ac:dyDescent="0.55000000000000004">
      <c r="A382">
        <v>7</v>
      </c>
      <c r="B382" t="str">
        <f t="shared" si="21"/>
        <v>7_5</v>
      </c>
      <c r="C382" t="s">
        <v>98</v>
      </c>
      <c r="D382" t="s">
        <v>125</v>
      </c>
      <c r="E382" t="str">
        <f t="shared" si="19"/>
        <v xml:space="preserve">Glossostigma </v>
      </c>
      <c r="F382" t="str">
        <f t="shared" si="20"/>
        <v>Native</v>
      </c>
      <c r="G382">
        <v>40</v>
      </c>
    </row>
    <row r="383" spans="1:7" x14ac:dyDescent="0.55000000000000004">
      <c r="A383">
        <v>8</v>
      </c>
      <c r="B383" t="str">
        <f t="shared" si="21"/>
        <v>8_5</v>
      </c>
      <c r="C383" t="s">
        <v>93</v>
      </c>
      <c r="E383" t="e">
        <f t="shared" si="19"/>
        <v>#N/A</v>
      </c>
      <c r="F383" t="e">
        <f t="shared" si="20"/>
        <v>#N/A</v>
      </c>
      <c r="G383">
        <v>0</v>
      </c>
    </row>
    <row r="384" spans="1:7" x14ac:dyDescent="0.55000000000000004">
      <c r="A384">
        <v>8</v>
      </c>
      <c r="B384" t="str">
        <f t="shared" si="21"/>
        <v>8_5</v>
      </c>
      <c r="C384" t="s">
        <v>94</v>
      </c>
      <c r="D384" t="s">
        <v>121</v>
      </c>
      <c r="E384" t="str">
        <f t="shared" si="19"/>
        <v>Ludwigia repens</v>
      </c>
      <c r="F384" t="str">
        <f t="shared" si="20"/>
        <v>Non_Native</v>
      </c>
      <c r="G384">
        <v>0</v>
      </c>
    </row>
    <row r="385" spans="1:7" x14ac:dyDescent="0.55000000000000004">
      <c r="A385">
        <v>8</v>
      </c>
      <c r="B385" t="str">
        <f t="shared" si="21"/>
        <v>8_5</v>
      </c>
      <c r="C385" t="s">
        <v>98</v>
      </c>
      <c r="D385" t="s">
        <v>125</v>
      </c>
      <c r="E385" t="str">
        <f t="shared" si="19"/>
        <v xml:space="preserve">Glossostigma </v>
      </c>
      <c r="F385" t="str">
        <f t="shared" si="20"/>
        <v>Native</v>
      </c>
      <c r="G385">
        <v>0</v>
      </c>
    </row>
    <row r="386" spans="1:7" x14ac:dyDescent="0.55000000000000004">
      <c r="A386">
        <v>9</v>
      </c>
      <c r="B386" t="str">
        <f t="shared" si="21"/>
        <v>9_5</v>
      </c>
      <c r="C386" t="s">
        <v>93</v>
      </c>
      <c r="E386" t="e">
        <f t="shared" si="19"/>
        <v>#N/A</v>
      </c>
      <c r="F386" t="e">
        <f t="shared" si="20"/>
        <v>#N/A</v>
      </c>
      <c r="G386">
        <v>0</v>
      </c>
    </row>
    <row r="387" spans="1:7" x14ac:dyDescent="0.55000000000000004">
      <c r="A387">
        <v>9</v>
      </c>
      <c r="B387" t="str">
        <f t="shared" si="21"/>
        <v>9_5</v>
      </c>
      <c r="C387" t="s">
        <v>94</v>
      </c>
      <c r="E387" t="e">
        <f t="shared" si="19"/>
        <v>#N/A</v>
      </c>
      <c r="F387" t="e">
        <f t="shared" si="20"/>
        <v>#N/A</v>
      </c>
      <c r="G387">
        <v>0</v>
      </c>
    </row>
    <row r="388" spans="1:7" x14ac:dyDescent="0.55000000000000004">
      <c r="A388">
        <v>9</v>
      </c>
      <c r="B388" t="str">
        <f t="shared" si="21"/>
        <v>9_5</v>
      </c>
      <c r="C388" t="s">
        <v>98</v>
      </c>
      <c r="D388" t="s">
        <v>125</v>
      </c>
      <c r="E388" t="str">
        <f t="shared" si="19"/>
        <v xml:space="preserve">Glossostigma </v>
      </c>
      <c r="F388" t="str">
        <f t="shared" si="20"/>
        <v>Native</v>
      </c>
      <c r="G388">
        <v>10</v>
      </c>
    </row>
    <row r="389" spans="1:7" x14ac:dyDescent="0.55000000000000004">
      <c r="A389">
        <v>10</v>
      </c>
      <c r="B389" t="str">
        <f t="shared" si="21"/>
        <v>10_5</v>
      </c>
      <c r="C389" t="s">
        <v>93</v>
      </c>
      <c r="E389" t="e">
        <f t="shared" si="19"/>
        <v>#N/A</v>
      </c>
      <c r="F389" t="e">
        <f t="shared" si="20"/>
        <v>#N/A</v>
      </c>
      <c r="G389">
        <v>0</v>
      </c>
    </row>
    <row r="390" spans="1:7" x14ac:dyDescent="0.55000000000000004">
      <c r="A390">
        <v>10</v>
      </c>
      <c r="B390" t="str">
        <f t="shared" si="21"/>
        <v>10_5</v>
      </c>
      <c r="C390" t="s">
        <v>94</v>
      </c>
      <c r="E390" t="e">
        <f t="shared" si="19"/>
        <v>#N/A</v>
      </c>
      <c r="F390" t="e">
        <f t="shared" si="20"/>
        <v>#N/A</v>
      </c>
      <c r="G390">
        <v>0</v>
      </c>
    </row>
    <row r="391" spans="1:7" x14ac:dyDescent="0.55000000000000004">
      <c r="A391">
        <v>10</v>
      </c>
      <c r="B391" t="str">
        <f t="shared" si="21"/>
        <v>10_5</v>
      </c>
      <c r="C391" t="s">
        <v>98</v>
      </c>
      <c r="E391" t="e">
        <f t="shared" si="19"/>
        <v>#N/A</v>
      </c>
      <c r="F391" t="e">
        <f t="shared" si="20"/>
        <v>#N/A</v>
      </c>
      <c r="G391">
        <v>0</v>
      </c>
    </row>
    <row r="392" spans="1:7" x14ac:dyDescent="0.55000000000000004">
      <c r="A392">
        <v>11</v>
      </c>
      <c r="B392" t="str">
        <f t="shared" si="21"/>
        <v>11_5</v>
      </c>
      <c r="C392" t="s">
        <v>93</v>
      </c>
      <c r="E392" t="e">
        <f t="shared" si="19"/>
        <v>#N/A</v>
      </c>
      <c r="F392" t="e">
        <f t="shared" si="20"/>
        <v>#N/A</v>
      </c>
      <c r="G392">
        <v>0</v>
      </c>
    </row>
    <row r="393" spans="1:7" x14ac:dyDescent="0.55000000000000004">
      <c r="A393">
        <v>11</v>
      </c>
      <c r="B393" t="str">
        <f t="shared" si="21"/>
        <v>11_5</v>
      </c>
      <c r="C393" t="s">
        <v>94</v>
      </c>
      <c r="E393" t="e">
        <f t="shared" si="19"/>
        <v>#N/A</v>
      </c>
      <c r="F393" t="e">
        <f t="shared" si="20"/>
        <v>#N/A</v>
      </c>
      <c r="G393">
        <v>0</v>
      </c>
    </row>
    <row r="394" spans="1:7" x14ac:dyDescent="0.55000000000000004">
      <c r="A394">
        <v>11</v>
      </c>
      <c r="B394" t="str">
        <f t="shared" si="21"/>
        <v>11_5</v>
      </c>
      <c r="C394" t="s">
        <v>98</v>
      </c>
      <c r="E394" t="e">
        <f t="shared" si="19"/>
        <v>#N/A</v>
      </c>
      <c r="F394" t="e">
        <f t="shared" si="20"/>
        <v>#N/A</v>
      </c>
      <c r="G394">
        <v>0</v>
      </c>
    </row>
    <row r="395" spans="1:7" x14ac:dyDescent="0.55000000000000004">
      <c r="A395">
        <v>12</v>
      </c>
      <c r="B395" t="str">
        <f t="shared" si="21"/>
        <v>12_5</v>
      </c>
      <c r="C395" t="s">
        <v>93</v>
      </c>
      <c r="E395" t="e">
        <f t="shared" si="19"/>
        <v>#N/A</v>
      </c>
      <c r="F395" t="e">
        <f t="shared" si="20"/>
        <v>#N/A</v>
      </c>
      <c r="G395">
        <v>0</v>
      </c>
    </row>
    <row r="396" spans="1:7" x14ac:dyDescent="0.55000000000000004">
      <c r="A396">
        <v>12</v>
      </c>
      <c r="B396" t="str">
        <f t="shared" si="21"/>
        <v>12_5</v>
      </c>
      <c r="C396" t="s">
        <v>94</v>
      </c>
      <c r="E396" t="e">
        <f t="shared" si="19"/>
        <v>#N/A</v>
      </c>
      <c r="F396" t="e">
        <f t="shared" si="20"/>
        <v>#N/A</v>
      </c>
      <c r="G396">
        <v>0</v>
      </c>
    </row>
    <row r="397" spans="1:7" x14ac:dyDescent="0.55000000000000004">
      <c r="A397">
        <v>12</v>
      </c>
      <c r="B397" t="str">
        <f t="shared" si="21"/>
        <v>12_5</v>
      </c>
      <c r="C397" t="s">
        <v>98</v>
      </c>
      <c r="E397" t="e">
        <f t="shared" si="19"/>
        <v>#N/A</v>
      </c>
      <c r="F397" t="e">
        <f t="shared" si="20"/>
        <v>#N/A</v>
      </c>
      <c r="G397">
        <v>0</v>
      </c>
    </row>
    <row r="398" spans="1:7" x14ac:dyDescent="0.55000000000000004">
      <c r="A398">
        <v>13</v>
      </c>
      <c r="B398" t="str">
        <f t="shared" si="21"/>
        <v>13_5</v>
      </c>
      <c r="C398" t="s">
        <v>93</v>
      </c>
      <c r="E398" t="e">
        <f t="shared" si="19"/>
        <v>#N/A</v>
      </c>
      <c r="F398" t="e">
        <f t="shared" si="20"/>
        <v>#N/A</v>
      </c>
      <c r="G398">
        <v>0</v>
      </c>
    </row>
    <row r="399" spans="1:7" x14ac:dyDescent="0.55000000000000004">
      <c r="A399">
        <v>13</v>
      </c>
      <c r="B399" t="str">
        <f t="shared" si="21"/>
        <v>13_5</v>
      </c>
      <c r="C399" t="s">
        <v>94</v>
      </c>
      <c r="E399" t="e">
        <f t="shared" si="19"/>
        <v>#N/A</v>
      </c>
      <c r="F399" t="e">
        <f t="shared" si="20"/>
        <v>#N/A</v>
      </c>
      <c r="G399">
        <v>0</v>
      </c>
    </row>
    <row r="400" spans="1:7" x14ac:dyDescent="0.55000000000000004">
      <c r="A400">
        <v>13</v>
      </c>
      <c r="B400" t="str">
        <f t="shared" si="21"/>
        <v>13_5</v>
      </c>
      <c r="C400" t="s">
        <v>98</v>
      </c>
      <c r="E400" t="e">
        <f t="shared" si="19"/>
        <v>#N/A</v>
      </c>
      <c r="F400" t="e">
        <f t="shared" si="20"/>
        <v>#N/A</v>
      </c>
      <c r="G400">
        <v>0</v>
      </c>
    </row>
    <row r="401" spans="1:7" x14ac:dyDescent="0.55000000000000004">
      <c r="A401">
        <v>14</v>
      </c>
      <c r="B401" t="str">
        <f t="shared" si="21"/>
        <v>14_5</v>
      </c>
      <c r="C401" t="s">
        <v>93</v>
      </c>
      <c r="E401" t="e">
        <f t="shared" si="19"/>
        <v>#N/A</v>
      </c>
      <c r="F401" t="e">
        <f t="shared" si="20"/>
        <v>#N/A</v>
      </c>
      <c r="G401">
        <v>0</v>
      </c>
    </row>
    <row r="402" spans="1:7" x14ac:dyDescent="0.55000000000000004">
      <c r="A402">
        <v>14</v>
      </c>
      <c r="B402" t="str">
        <f t="shared" si="21"/>
        <v>14_5</v>
      </c>
      <c r="C402" t="s">
        <v>94</v>
      </c>
      <c r="E402" t="e">
        <f t="shared" si="19"/>
        <v>#N/A</v>
      </c>
      <c r="F402" t="e">
        <f t="shared" si="20"/>
        <v>#N/A</v>
      </c>
      <c r="G402">
        <v>0</v>
      </c>
    </row>
    <row r="403" spans="1:7" x14ac:dyDescent="0.55000000000000004">
      <c r="A403">
        <v>14</v>
      </c>
      <c r="B403" t="str">
        <f t="shared" si="21"/>
        <v>14_5</v>
      </c>
      <c r="C403" t="s">
        <v>98</v>
      </c>
      <c r="D403" t="s">
        <v>125</v>
      </c>
      <c r="E403" t="str">
        <f t="shared" si="19"/>
        <v xml:space="preserve">Glossostigma </v>
      </c>
      <c r="F403" t="str">
        <f t="shared" si="20"/>
        <v>Native</v>
      </c>
      <c r="G403">
        <v>10</v>
      </c>
    </row>
    <row r="404" spans="1:7" x14ac:dyDescent="0.55000000000000004">
      <c r="A404">
        <v>15</v>
      </c>
      <c r="B404" t="str">
        <f t="shared" si="21"/>
        <v>15_5</v>
      </c>
      <c r="C404" t="s">
        <v>93</v>
      </c>
      <c r="E404" t="e">
        <f t="shared" si="19"/>
        <v>#N/A</v>
      </c>
      <c r="F404" t="e">
        <f t="shared" si="20"/>
        <v>#N/A</v>
      </c>
      <c r="G404">
        <v>0</v>
      </c>
    </row>
    <row r="405" spans="1:7" x14ac:dyDescent="0.55000000000000004">
      <c r="A405">
        <v>15</v>
      </c>
      <c r="B405" t="str">
        <f t="shared" si="21"/>
        <v>15_5</v>
      </c>
      <c r="C405" t="s">
        <v>94</v>
      </c>
      <c r="E405" t="e">
        <f t="shared" si="19"/>
        <v>#N/A</v>
      </c>
      <c r="F405" t="e">
        <f t="shared" si="20"/>
        <v>#N/A</v>
      </c>
      <c r="G405">
        <v>0</v>
      </c>
    </row>
    <row r="406" spans="1:7" x14ac:dyDescent="0.55000000000000004">
      <c r="A406">
        <v>15</v>
      </c>
      <c r="B406" t="str">
        <f t="shared" si="21"/>
        <v>15_5</v>
      </c>
      <c r="C406" t="s">
        <v>98</v>
      </c>
      <c r="E406" t="e">
        <f t="shared" si="19"/>
        <v>#N/A</v>
      </c>
      <c r="F406" t="e">
        <f t="shared" si="20"/>
        <v>#N/A</v>
      </c>
      <c r="G406">
        <v>0</v>
      </c>
    </row>
    <row r="407" spans="1:7" x14ac:dyDescent="0.55000000000000004">
      <c r="A407">
        <v>16</v>
      </c>
      <c r="B407" t="str">
        <f t="shared" si="21"/>
        <v>16_5</v>
      </c>
      <c r="C407" t="s">
        <v>93</v>
      </c>
      <c r="E407" t="e">
        <f t="shared" si="19"/>
        <v>#N/A</v>
      </c>
      <c r="F407" t="e">
        <f t="shared" si="20"/>
        <v>#N/A</v>
      </c>
      <c r="G407">
        <v>0</v>
      </c>
    </row>
    <row r="408" spans="1:7" x14ac:dyDescent="0.55000000000000004">
      <c r="A408">
        <v>16</v>
      </c>
      <c r="B408" t="str">
        <f t="shared" si="21"/>
        <v>16_5</v>
      </c>
      <c r="C408" t="s">
        <v>94</v>
      </c>
      <c r="E408" t="e">
        <f t="shared" si="19"/>
        <v>#N/A</v>
      </c>
      <c r="F408" t="e">
        <f t="shared" si="20"/>
        <v>#N/A</v>
      </c>
      <c r="G408">
        <v>0</v>
      </c>
    </row>
    <row r="409" spans="1:7" x14ac:dyDescent="0.55000000000000004">
      <c r="A409">
        <v>16</v>
      </c>
      <c r="B409" t="str">
        <f t="shared" si="21"/>
        <v>16_5</v>
      </c>
      <c r="C409" t="s">
        <v>98</v>
      </c>
      <c r="E409" t="e">
        <f t="shared" si="19"/>
        <v>#N/A</v>
      </c>
      <c r="F409" t="e">
        <f t="shared" si="20"/>
        <v>#N/A</v>
      </c>
      <c r="G409">
        <v>0</v>
      </c>
    </row>
    <row r="410" spans="1:7" x14ac:dyDescent="0.55000000000000004">
      <c r="A410">
        <v>17</v>
      </c>
      <c r="B410" t="str">
        <f t="shared" si="21"/>
        <v>17_5</v>
      </c>
      <c r="C410" t="s">
        <v>93</v>
      </c>
      <c r="E410" t="e">
        <f t="shared" si="19"/>
        <v>#N/A</v>
      </c>
      <c r="F410" t="e">
        <f t="shared" si="20"/>
        <v>#N/A</v>
      </c>
      <c r="G410">
        <v>0</v>
      </c>
    </row>
    <row r="411" spans="1:7" x14ac:dyDescent="0.55000000000000004">
      <c r="A411">
        <v>17</v>
      </c>
      <c r="B411" t="str">
        <f t="shared" si="21"/>
        <v>17_5</v>
      </c>
      <c r="C411" t="s">
        <v>94</v>
      </c>
      <c r="E411" t="e">
        <f t="shared" si="19"/>
        <v>#N/A</v>
      </c>
      <c r="F411" t="e">
        <f t="shared" si="20"/>
        <v>#N/A</v>
      </c>
      <c r="G411">
        <v>0</v>
      </c>
    </row>
    <row r="412" spans="1:7" x14ac:dyDescent="0.55000000000000004">
      <c r="A412">
        <v>17</v>
      </c>
      <c r="B412" t="str">
        <f t="shared" si="21"/>
        <v>17_5</v>
      </c>
      <c r="C412" t="s">
        <v>98</v>
      </c>
      <c r="E412" t="e">
        <f t="shared" si="19"/>
        <v>#N/A</v>
      </c>
      <c r="F412" t="e">
        <f t="shared" si="20"/>
        <v>#N/A</v>
      </c>
      <c r="G412">
        <v>0</v>
      </c>
    </row>
    <row r="413" spans="1:7" x14ac:dyDescent="0.55000000000000004">
      <c r="A413">
        <v>18</v>
      </c>
      <c r="B413" t="str">
        <f t="shared" si="21"/>
        <v>18_5</v>
      </c>
      <c r="C413" t="s">
        <v>93</v>
      </c>
      <c r="E413" t="e">
        <f t="shared" si="19"/>
        <v>#N/A</v>
      </c>
      <c r="F413" t="e">
        <f t="shared" si="20"/>
        <v>#N/A</v>
      </c>
      <c r="G413">
        <v>0</v>
      </c>
    </row>
    <row r="414" spans="1:7" x14ac:dyDescent="0.55000000000000004">
      <c r="A414">
        <v>18</v>
      </c>
      <c r="B414" t="str">
        <f t="shared" si="21"/>
        <v>18_5</v>
      </c>
      <c r="C414" t="s">
        <v>94</v>
      </c>
      <c r="E414" t="e">
        <f t="shared" si="19"/>
        <v>#N/A</v>
      </c>
      <c r="F414" t="e">
        <f t="shared" si="20"/>
        <v>#N/A</v>
      </c>
      <c r="G414">
        <v>0</v>
      </c>
    </row>
    <row r="415" spans="1:7" x14ac:dyDescent="0.55000000000000004">
      <c r="A415">
        <v>18</v>
      </c>
      <c r="B415" t="str">
        <f t="shared" si="21"/>
        <v>18_5</v>
      </c>
      <c r="C415" t="s">
        <v>98</v>
      </c>
      <c r="E415" t="e">
        <f t="shared" si="19"/>
        <v>#N/A</v>
      </c>
      <c r="F415" t="e">
        <f t="shared" si="20"/>
        <v>#N/A</v>
      </c>
      <c r="G415">
        <v>0</v>
      </c>
    </row>
    <row r="416" spans="1:7" x14ac:dyDescent="0.55000000000000004">
      <c r="A416">
        <v>19</v>
      </c>
      <c r="B416" t="str">
        <f t="shared" si="21"/>
        <v>19_5</v>
      </c>
      <c r="C416" t="s">
        <v>93</v>
      </c>
      <c r="E416" t="e">
        <f t="shared" si="19"/>
        <v>#N/A</v>
      </c>
      <c r="F416" t="e">
        <f t="shared" si="20"/>
        <v>#N/A</v>
      </c>
      <c r="G416">
        <v>0</v>
      </c>
    </row>
    <row r="417" spans="1:7" x14ac:dyDescent="0.55000000000000004">
      <c r="A417">
        <v>19</v>
      </c>
      <c r="B417" t="str">
        <f t="shared" si="21"/>
        <v>19_5</v>
      </c>
      <c r="C417" t="s">
        <v>94</v>
      </c>
      <c r="E417" t="e">
        <f t="shared" si="19"/>
        <v>#N/A</v>
      </c>
      <c r="F417" t="e">
        <f t="shared" si="20"/>
        <v>#N/A</v>
      </c>
      <c r="G417">
        <v>0</v>
      </c>
    </row>
    <row r="418" spans="1:7" x14ac:dyDescent="0.55000000000000004">
      <c r="A418">
        <v>19</v>
      </c>
      <c r="B418" t="str">
        <f t="shared" si="21"/>
        <v>19_5</v>
      </c>
      <c r="C418" t="s">
        <v>98</v>
      </c>
      <c r="E418" t="e">
        <f t="shared" ref="E418:E421" si="22">VLOOKUP($D418, $K$3:$M$18, 2, FALSE)</f>
        <v>#N/A</v>
      </c>
      <c r="F418" t="e">
        <f t="shared" ref="F418:F421" si="23">VLOOKUP($D418, $K$3:$M$18, 3, FALSE)</f>
        <v>#N/A</v>
      </c>
      <c r="G418">
        <v>0</v>
      </c>
    </row>
    <row r="419" spans="1:7" x14ac:dyDescent="0.55000000000000004">
      <c r="A419">
        <v>20</v>
      </c>
      <c r="B419" t="str">
        <f t="shared" si="21"/>
        <v>20_5</v>
      </c>
      <c r="C419" t="s">
        <v>93</v>
      </c>
      <c r="E419" t="e">
        <f t="shared" si="22"/>
        <v>#N/A</v>
      </c>
      <c r="F419" t="e">
        <f t="shared" si="23"/>
        <v>#N/A</v>
      </c>
      <c r="G419">
        <v>0</v>
      </c>
    </row>
    <row r="420" spans="1:7" x14ac:dyDescent="0.55000000000000004">
      <c r="A420">
        <v>20</v>
      </c>
      <c r="B420" t="str">
        <f t="shared" si="21"/>
        <v>20_5</v>
      </c>
      <c r="C420" t="s">
        <v>94</v>
      </c>
      <c r="E420" t="e">
        <f t="shared" si="22"/>
        <v>#N/A</v>
      </c>
      <c r="F420" t="e">
        <f t="shared" si="23"/>
        <v>#N/A</v>
      </c>
      <c r="G420">
        <v>0</v>
      </c>
    </row>
    <row r="421" spans="1:7" x14ac:dyDescent="0.55000000000000004">
      <c r="A421">
        <v>20</v>
      </c>
      <c r="B421" t="str">
        <f t="shared" si="21"/>
        <v>20_5</v>
      </c>
      <c r="C421" t="s">
        <v>98</v>
      </c>
      <c r="E421" t="e">
        <f t="shared" si="22"/>
        <v>#N/A</v>
      </c>
      <c r="F421" t="e">
        <f t="shared" si="23"/>
        <v>#N/A</v>
      </c>
      <c r="G421">
        <v>0</v>
      </c>
    </row>
  </sheetData>
  <dataValidations count="2">
    <dataValidation type="list" allowBlank="1" showInputMessage="1" showErrorMessage="1" sqref="D22 D2:D14 D16 D19 D265:D314 D82 D85:D134 D142 D136 D139 D145:D194 D202 D196 D199 D205:D254 D262 D256 D259 D325:D374 D25:D74 D76:D79 D322 M76:M78 D316 D319 D385:D421 D382 D376 D37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15 D323:D324 D320:D321 D317:D318 D375 D383:D384 D380:D381 D377:D37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177" activePane="bottomRight" state="frozen"/>
      <selection pane="topRight" activeCell="B1" sqref="B1"/>
      <selection pane="bottomLeft" activeCell="A2" sqref="A2"/>
      <selection pane="bottomRight" activeCell="K25" sqref="K25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sheetPr filterMode="1"/>
  <dimension ref="A1:AB2776"/>
  <sheetViews>
    <sheetView tabSelected="1" workbookViewId="0">
      <pane xSplit="2" ySplit="1" topLeftCell="C2722" activePane="bottomRight" state="frozen"/>
      <selection pane="topRight" activeCell="C1" sqref="C1"/>
      <selection pane="bottomLeft" activeCell="A2" sqref="A2"/>
      <selection pane="bottomRight" activeCell="M1682" sqref="B1678:M1682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hidden="1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hidden="1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hidden="1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hidden="1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hidden="1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hidden="1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hidden="1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hidden="1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hidden="1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hidden="1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hidden="1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hidden="1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hidden="1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hidden="1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hidden="1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hidden="1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hidden="1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hidden="1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hidden="1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hidden="1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hidden="1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hidden="1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hidden="1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hidden="1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hidden="1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hidden="1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hidden="1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hidden="1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hidden="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hidden="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hidden="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hidden="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hidden="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hidden="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hidden="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hidden="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hidden="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hidden="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hidden="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hidden="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hidden="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hidden="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hidden="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hidden="1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hidden="1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hidden="1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hidden="1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hidden="1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hidden="1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hidden="1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hidden="1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hidden="1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hidden="1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hidden="1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hidden="1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hidden="1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hidden="1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hidden="1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hidden="1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hidden="1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hidden="1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hidden="1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hidden="1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hidden="1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hidden="1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hidden="1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hidden="1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hidden="1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hidden="1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hidden="1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hidden="1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hidden="1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hidden="1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hidden="1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hidden="1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hidden="1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hidden="1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hidden="1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hidden="1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hidden="1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hidden="1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hidden="1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hidden="1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hidden="1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hidden="1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hidden="1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hidden="1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hidden="1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hidden="1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hidden="1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hidden="1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hidden="1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hidden="1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hidden="1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hidden="1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hidden="1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hidden="1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hidden="1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hidden="1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hidden="1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hidden="1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hidden="1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hidden="1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hidden="1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hidden="1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hidden="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hidden="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hidden="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hidden="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hidden="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hidden="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hidden="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hidden="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hidden="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hidden="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hidden="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hidden="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hidden="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hidden="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hidden="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hidden="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hidden="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hidden="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hidden="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hidden="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hidden="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hidden="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hidden="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hidden="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hidden="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hidden="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hidden="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hidden="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hidden="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hidden="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hidden="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hidden="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hidden="1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hidden="1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hidden="1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hidden="1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hidden="1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hidden="1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hidden="1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hidden="1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hidden="1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hidden="1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hidden="1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hidden="1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hidden="1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hidden="1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hidden="1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hidden="1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hidden="1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hidden="1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hidden="1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hidden="1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hidden="1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hidden="1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hidden="1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hidden="1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hidden="1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hidden="1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hidden="1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hidden="1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hidden="1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hidden="1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hidden="1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hidden="1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hidden="1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hidden="1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hidden="1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hidden="1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hidden="1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hidden="1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hidden="1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hidden="1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hidden="1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hidden="1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hidden="1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hidden="1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hidden="1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hidden="1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hidden="1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hidden="1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hidden="1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hidden="1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hidden="1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hidden="1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hidden="1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hidden="1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hidden="1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hidden="1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hidden="1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hidden="1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hidden="1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hidden="1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hidden="1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hidden="1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hidden="1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hidden="1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hidden="1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hidden="1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hidden="1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hidden="1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hidden="1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hidden="1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hidden="1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hidden="1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hidden="1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hidden="1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hidden="1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hidden="1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hidden="1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hidden="1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hidden="1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hidden="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hidden="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hidden="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hidden="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hidden="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hidden="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hidden="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hidden="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hidden="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hidden="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hidden="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hidden="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hidden="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hidden="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hidden="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hidden="1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hidden="1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hidden="1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hidden="1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hidden="1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hidden="1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hidden="1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hidden="1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hidden="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hidden="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hidden="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hidden="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hidden="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hidden="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hidden="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hidden="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hidden="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hidden="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hidden="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hidden="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hidden="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hidden="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hidden="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hidden="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hidden="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hidden="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hidden="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hidden="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hidden="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hidden="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hidden="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hidden="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hidden="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hidden="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hidden="1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hidden="1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hidden="1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hidden="1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hidden="1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hidden="1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hidden="1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hidden="1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hidden="1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hidden="1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hidden="1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hidden="1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hidden="1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hidden="1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hidden="1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hidden="1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hidden="1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hidden="1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hidden="1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hidden="1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hidden="1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hidden="1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hidden="1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hidden="1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hidden="1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hidden="1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hidden="1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hidden="1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hidden="1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hidden="1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hidden="1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hidden="1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hidden="1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hidden="1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hidden="1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hidden="1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hidden="1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hidden="1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hidden="1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hidden="1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hidden="1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hidden="1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hidden="1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hidden="1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hidden="1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hidden="1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hidden="1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hidden="1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hidden="1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hidden="1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hidden="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hidden="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hidden="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hidden="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hidden="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hidden="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hidden="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hidden="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hidden="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hidden="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hidden="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hidden="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hidden="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hidden="1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hidden="1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hidden="1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hidden="1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hidden="1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hidden="1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hidden="1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hidden="1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hidden="1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hidden="1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hidden="1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hidden="1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hidden="1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hidden="1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hidden="1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hidden="1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hidden="1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hidden="1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hidden="1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hidden="1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hidden="1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hidden="1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hidden="1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hidden="1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hidden="1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hidden="1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hidden="1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hidden="1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hidden="1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hidden="1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hidden="1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hidden="1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hidden="1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hidden="1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hidden="1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hidden="1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hidden="1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hidden="1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hidden="1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hidden="1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hidden="1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hidden="1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hidden="1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hidden="1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hidden="1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hidden="1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hidden="1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hidden="1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hidden="1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hidden="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hidden="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hidden="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hidden="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hidden="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hidden="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hidden="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hidden="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hidden="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hidden="1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hidden="1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hidden="1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hidden="1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hidden="1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hidden="1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hidden="1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hidden="1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hidden="1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hidden="1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hidden="1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hidden="1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hidden="1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hidden="1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hidden="1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hidden="1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hidden="1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hidden="1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hidden="1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hidden="1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hidden="1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hidden="1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hidden="1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hidden="1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hidden="1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hidden="1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hidden="1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hidden="1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hidden="1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hidden="1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hidden="1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hidden="1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hidden="1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hidden="1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hidden="1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hidden="1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hidden="1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hidden="1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hidden="1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hidden="1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hidden="1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hidden="1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hidden="1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hidden="1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hidden="1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hidden="1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hidden="1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hidden="1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hidden="1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hidden="1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hidden="1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hidden="1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hidden="1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hidden="1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hidden="1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hidden="1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hidden="1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hidden="1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hidden="1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hidden="1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hidden="1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hidden="1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hidden="1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hidden="1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hidden="1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hidden="1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hidden="1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hidden="1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hidden="1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hidden="1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hidden="1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hidden="1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hidden="1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hidden="1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hidden="1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hidden="1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hidden="1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hidden="1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hidden="1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hidden="1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hidden="1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hidden="1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hidden="1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hidden="1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hidden="1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hidden="1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hidden="1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hidden="1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hidden="1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hidden="1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hidden="1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hidden="1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hidden="1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hidden="1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hidden="1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hidden="1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hidden="1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hidden="1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hidden="1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hidden="1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hidden="1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hidden="1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hidden="1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hidden="1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hidden="1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hidden="1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hidden="1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hidden="1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hidden="1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hidden="1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hidden="1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hidden="1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hidden="1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hidden="1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hidden="1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hidden="1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hidden="1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hidden="1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hidden="1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hidden="1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hidden="1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hidden="1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hidden="1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hidden="1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hidden="1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hidden="1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hidden="1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hidden="1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hidden="1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hidden="1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hidden="1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hidden="1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hidden="1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hidden="1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hidden="1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hidden="1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hidden="1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hidden="1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hidden="1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hidden="1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hidden="1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hidden="1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hidden="1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hidden="1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hidden="1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hidden="1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hidden="1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hidden="1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hidden="1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hidden="1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hidden="1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hidden="1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hidden="1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hidden="1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hidden="1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hidden="1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hidden="1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hidden="1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hidden="1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hidden="1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hidden="1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hidden="1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hidden="1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hidden="1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hidden="1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hidden="1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hidden="1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hidden="1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hidden="1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hidden="1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hidden="1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hidden="1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hidden="1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hidden="1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hidden="1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hidden="1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hidden="1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hidden="1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hidden="1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hidden="1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hidden="1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hidden="1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hidden="1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hidden="1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hidden="1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hidden="1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hidden="1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hidden="1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hidden="1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hidden="1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hidden="1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hidden="1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hidden="1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hidden="1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hidden="1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hidden="1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hidden="1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hidden="1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hidden="1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hidden="1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hidden="1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hidden="1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hidden="1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hidden="1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hidden="1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hidden="1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hidden="1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hidden="1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hidden="1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hidden="1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hidden="1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hidden="1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hidden="1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hidden="1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hidden="1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hidden="1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hidden="1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hidden="1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hidden="1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hidden="1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hidden="1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hidden="1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hidden="1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hidden="1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hidden="1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hidden="1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hidden="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hidden="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hidden="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hidden="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hidden="1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hidden="1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hidden="1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hidden="1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hidden="1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hidden="1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hidden="1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hidden="1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hidden="1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hidden="1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hidden="1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hidden="1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hidden="1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hidden="1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hidden="1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hidden="1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hidden="1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hidden="1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hidden="1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hidden="1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hidden="1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hidden="1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hidden="1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hidden="1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hidden="1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hidden="1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hidden="1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hidden="1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hidden="1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hidden="1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hidden="1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hidden="1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hidden="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hidden="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hidden="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hidden="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hidden="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hidden="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hidden="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hidden="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hidden="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hidden="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hidden="1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hidden="1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hidden="1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hidden="1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hidden="1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hidden="1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hidden="1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hidden="1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hidden="1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hidden="1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hidden="1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hidden="1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hidden="1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hidden="1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hidden="1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hidden="1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hidden="1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hidden="1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hidden="1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hidden="1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hidden="1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hidden="1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hidden="1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hidden="1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hidden="1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hidden="1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hidden="1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hidden="1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hidden="1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hidden="1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hidden="1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hidden="1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hidden="1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hidden="1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hidden="1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hidden="1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hidden="1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hidden="1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hidden="1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hidden="1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hidden="1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hidden="1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hidden="1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hidden="1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hidden="1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hidden="1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hidden="1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hidden="1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hidden="1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hidden="1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hidden="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hidden="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hidden="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hidden="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hidden="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hidden="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hidden="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hidden="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hidden="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hidden="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hidden="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hidden="1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hidden="1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hidden="1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hidden="1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hidden="1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hidden="1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hidden="1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hidden="1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hidden="1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hidden="1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hidden="1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hidden="1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hidden="1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hidden="1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hidden="1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hidden="1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hidden="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hidden="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hidden="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hidden="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hidden="1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hidden="1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hidden="1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hidden="1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hidden="1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hidden="1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hidden="1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hidden="1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hidden="1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hidden="1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hidden="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hidden="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hidden="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hidden="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hidden="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hidden="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hidden="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hidden="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hidden="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hidden="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hidden="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hidden="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hidden="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hidden="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hidden="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hidden="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hidden="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hidden="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hidden="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hidden="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hidden="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hidden="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hidden="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hidden="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hidden="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hidden="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hidden="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hidden="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hidden="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hidden="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hidden="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hidden="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hidden="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hidden="1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hidden="1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hidden="1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hidden="1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hidden="1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hidden="1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hidden="1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hidden="1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hidden="1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hidden="1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hidden="1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hidden="1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hidden="1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hidden="1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hidden="1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hidden="1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hidden="1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hidden="1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hidden="1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hidden="1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hidden="1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hidden="1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hidden="1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hidden="1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hidden="1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hidden="1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hidden="1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hidden="1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hidden="1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hidden="1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hidden="1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hidden="1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hidden="1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hidden="1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hidden="1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hidden="1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hidden="1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hidden="1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hidden="1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hidden="1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hidden="1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hidden="1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hidden="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hidden="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hidden="1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hidden="1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hidden="1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hidden="1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hidden="1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hidden="1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hidden="1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hidden="1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hidden="1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hidden="1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hidden="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hidden="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hidden="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hidden="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hidden="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hidden="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hidden="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hidden="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hidden="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hidden="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hidden="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hidden="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hidden="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hidden="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hidden="1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hidden="1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hidden="1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hidden="1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hidden="1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hidden="1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hidden="1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hidden="1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hidden="1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hidden="1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hidden="1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hidden="1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hidden="1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hidden="1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hidden="1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hidden="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hidden="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hidden="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hidden="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hidden="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hidden="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hidden="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hidden="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hidden="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hidden="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hidden="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hidden="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hidden="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hidden="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hidden="1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hidden="1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hidden="1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hidden="1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hidden="1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hidden="1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hidden="1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hidden="1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hidden="1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hidden="1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hidden="1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hidden="1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hidden="1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hidden="1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hidden="1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hidden="1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hidden="1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hidden="1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hidden="1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hidden="1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hidden="1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hidden="1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hidden="1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hidden="1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hidden="1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hidden="1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hidden="1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hidden="1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hidden="1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hidden="1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hidden="1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hidden="1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hidden="1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hidden="1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hidden="1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hidden="1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hidden="1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hidden="1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hidden="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hidden="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hidden="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hidden="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hidden="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hidden="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hidden="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hidden="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hidden="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hidden="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hidden="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hidden="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hidden="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hidden="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hidden="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hidden="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hidden="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hidden="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hidden="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hidden="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hidden="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hidden="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hidden="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hidden="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hidden="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hidden="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hidden="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hidden="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hidden="1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hidden="1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hidden="1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hidden="1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hidden="1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hidden="1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hidden="1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hidden="1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hidden="1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hidden="1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hidden="1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hidden="1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hidden="1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hidden="1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hidden="1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hidden="1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hidden="1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hidden="1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hidden="1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hidden="1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hidden="1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hidden="1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hidden="1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hidden="1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hidden="1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hidden="1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hidden="1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hidden="1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hidden="1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hidden="1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hidden="1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hidden="1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hidden="1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hidden="1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hidden="1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hidden="1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hidden="1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hidden="1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hidden="1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hidden="1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hidden="1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hidden="1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hidden="1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hidden="1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hidden="1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hidden="1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hidden="1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hidden="1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hidden="1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hidden="1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hidden="1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hidden="1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hidden="1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hidden="1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hidden="1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hidden="1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hidden="1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hidden="1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hidden="1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hidden="1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hidden="1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hidden="1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hidden="1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hidden="1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hidden="1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hidden="1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hidden="1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hidden="1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hidden="1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hidden="1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hidden="1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hidden="1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hidden="1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hidden="1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hidden="1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hidden="1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hidden="1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hidden="1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hidden="1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hidden="1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hidden="1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hidden="1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hidden="1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hidden="1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hidden="1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hidden="1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hidden="1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hidden="1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hidden="1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hidden="1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hidden="1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hidden="1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hidden="1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hidden="1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hidden="1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hidden="1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hidden="1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hidden="1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hidden="1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hidden="1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hidden="1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hidden="1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hidden="1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hidden="1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hidden="1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hidden="1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hidden="1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hidden="1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hidden="1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hidden="1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hidden="1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hidden="1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hidden="1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hidden="1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hidden="1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hidden="1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hidden="1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hidden="1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hidden="1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hidden="1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hidden="1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hidden="1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hidden="1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hidden="1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hidden="1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hidden="1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hidden="1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hidden="1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hidden="1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hidden="1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hidden="1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hidden="1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hidden="1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hidden="1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M1534" t="s">
        <v>199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M1535" t="s">
        <v>199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M1536" t="s">
        <v>198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M1537" t="s">
        <v>198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M1538" t="s">
        <v>199</v>
      </c>
      <c r="N1538">
        <v>23</v>
      </c>
      <c r="P1538">
        <v>1</v>
      </c>
      <c r="T1538" t="str">
        <f t="shared" si="174"/>
        <v/>
      </c>
    </row>
    <row r="1539" spans="1:20" hidden="1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hidden="1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hidden="1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hidden="1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hidden="1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hidden="1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hidden="1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hidden="1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hidden="1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hidden="1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hidden="1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hidden="1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hidden="1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hidden="1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hidden="1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hidden="1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hidden="1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hidden="1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hidden="1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hidden="1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hidden="1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hidden="1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hidden="1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hidden="1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hidden="1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hidden="1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hidden="1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hidden="1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hidden="1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hidden="1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hidden="1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hidden="1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hidden="1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hidden="1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hidden="1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hidden="1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hidden="1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hidden="1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hidden="1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hidden="1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hidden="1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hidden="1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hidden="1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hidden="1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hidden="1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hidden="1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hidden="1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hidden="1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hidden="1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hidden="1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hidden="1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hidden="1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hidden="1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hidden="1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hidden="1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hidden="1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hidden="1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hidden="1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hidden="1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hidden="1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hidden="1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hidden="1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hidden="1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hidden="1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hidden="1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hidden="1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hidden="1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hidden="1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hidden="1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hidden="1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hidden="1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hidden="1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hidden="1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hidden="1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hidden="1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hidden="1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hidden="1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hidden="1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hidden="1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hidden="1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hidden="1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hidden="1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hidden="1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hidden="1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hidden="1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hidden="1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hidden="1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hidden="1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hidden="1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hidden="1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hidden="1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hidden="1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hidden="1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hidden="1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hidden="1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hidden="1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hidden="1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hidden="1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hidden="1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hidden="1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hidden="1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hidden="1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hidden="1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hidden="1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hidden="1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hidden="1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hidden="1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hidden="1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hidden="1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hidden="1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hidden="1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hidden="1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hidden="1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hidden="1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hidden="1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hidden="1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hidden="1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hidden="1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hidden="1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hidden="1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hidden="1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hidden="1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hidden="1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hidden="1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hidden="1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hidden="1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hidden="1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hidden="1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hidden="1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hidden="1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hidden="1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hidden="1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hidden="1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hidden="1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hidden="1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hidden="1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hidden="1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hidden="1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hidden="1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hidden="1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hidden="1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hidden="1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hidden="1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hidden="1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hidden="1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hidden="1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hidden="1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hidden="1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hidden="1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hidden="1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hidden="1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hidden="1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hidden="1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hidden="1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hidden="1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hidden="1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hidden="1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hidden="1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hidden="1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hidden="1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hidden="1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hidden="1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hidden="1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hidden="1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hidden="1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hidden="1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hidden="1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hidden="1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hidden="1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hidden="1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hidden="1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hidden="1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hidden="1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hidden="1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hidden="1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hidden="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hidden="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hidden="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hidden="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hidden="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hidden="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hidden="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hidden="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hidden="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hidden="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hidden="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hidden="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hidden="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hidden="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hidden="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hidden="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hidden="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hidden="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hidden="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hidden="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hidden="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hidden="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hidden="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hidden="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hidden="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hidden="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hidden="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hidden="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hidden="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hidden="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hidden="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hidden="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hidden="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hidden="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hidden="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hidden="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hidden="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hidden="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hidden="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hidden="1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hidden="1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hidden="1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hidden="1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hidden="1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hidden="1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hidden="1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hidden="1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hidden="1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hidden="1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hidden="1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hidden="1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hidden="1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hidden="1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hidden="1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hidden="1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hidden="1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hidden="1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hidden="1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hidden="1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hidden="1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hidden="1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hidden="1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hidden="1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hidden="1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hidden="1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hidden="1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hidden="1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hidden="1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hidden="1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hidden="1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hidden="1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hidden="1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hidden="1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hidden="1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hidden="1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hidden="1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hidden="1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hidden="1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hidden="1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hidden="1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hidden="1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hidden="1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hidden="1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hidden="1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hidden="1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hidden="1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hidden="1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hidden="1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hidden="1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hidden="1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hidden="1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hidden="1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hidden="1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hidden="1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hidden="1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hidden="1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hidden="1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hidden="1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hidden="1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hidden="1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hidden="1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hidden="1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hidden="1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hidden="1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hidden="1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hidden="1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hidden="1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hidden="1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hidden="1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hidden="1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hidden="1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hidden="1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hidden="1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hidden="1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hidden="1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hidden="1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hidden="1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hidden="1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hidden="1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hidden="1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hidden="1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hidden="1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hidden="1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hidden="1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hidden="1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hidden="1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hidden="1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hidden="1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hidden="1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hidden="1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hidden="1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hidden="1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hidden="1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hidden="1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hidden="1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hidden="1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hidden="1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hidden="1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hidden="1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hidden="1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hidden="1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hidden="1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hidden="1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hidden="1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hidden="1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hidden="1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hidden="1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hidden="1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hidden="1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hidden="1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hidden="1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hidden="1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hidden="1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hidden="1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hidden="1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hidden="1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hidden="1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hidden="1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hidden="1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hidden="1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hidden="1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hidden="1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hidden="1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hidden="1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hidden="1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hidden="1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hidden="1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hidden="1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hidden="1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hidden="1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hidden="1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hidden="1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hidden="1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hidden="1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hidden="1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hidden="1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hidden="1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hidden="1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hidden="1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hidden="1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hidden="1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hidden="1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hidden="1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hidden="1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hidden="1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hidden="1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hidden="1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hidden="1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hidden="1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hidden="1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hidden="1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hidden="1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hidden="1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hidden="1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hidden="1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hidden="1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hidden="1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hidden="1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hidden="1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hidden="1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hidden="1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hidden="1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hidden="1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1</v>
      </c>
      <c r="B2116" s="15" t="str">
        <f t="shared" ref="B2116" si="245">A2116 &amp; "_5"</f>
        <v>1_5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hidden="1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hidden="1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hidden="1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hidden="1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hidden="1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hidden="1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hidden="1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hidden="1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hidden="1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hidden="1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hidden="1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hidden="1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hidden="1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hidden="1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hidden="1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hidden="1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hidden="1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hidden="1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hidden="1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hidden="1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hidden="1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hidden="1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hidden="1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hidden="1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hidden="1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hidden="1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hidden="1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hidden="1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hidden="1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hidden="1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hidden="1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hidden="1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hidden="1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hidden="1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hidden="1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hidden="1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hidden="1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hidden="1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hidden="1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hidden="1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hidden="1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hidden="1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hidden="1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hidden="1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hidden="1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hidden="1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hidden="1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hidden="1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hidden="1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hidden="1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hidden="1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hidden="1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hidden="1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hidden="1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hidden="1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hidden="1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hidden="1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hidden="1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hidden="1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hidden="1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hidden="1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hidden="1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hidden="1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hidden="1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hidden="1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hidden="1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hidden="1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hidden="1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hidden="1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hidden="1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hidden="1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hidden="1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hidden="1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hidden="1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hidden="1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hidden="1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hidden="1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hidden="1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hidden="1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hidden="1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hidden="1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hidden="1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hidden="1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hidden="1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hidden="1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hidden="1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hidden="1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hidden="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hidden="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hidden="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hidden="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hidden="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hidden="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hidden="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hidden="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hidden="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hidden="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hidden="1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hidden="1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hidden="1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hidden="1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hidden="1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hidden="1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hidden="1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hidden="1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hidden="1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hidden="1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hidden="1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hidden="1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hidden="1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hidden="1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hidden="1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hidden="1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hidden="1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hidden="1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hidden="1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hidden="1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hidden="1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hidden="1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hidden="1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hidden="1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hidden="1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hidden="1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hidden="1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hidden="1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hidden="1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hidden="1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hidden="1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hidden="1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hidden="1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hidden="1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hidden="1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hidden="1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hidden="1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hidden="1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hidden="1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hidden="1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hidden="1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hidden="1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hidden="1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hidden="1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hidden="1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hidden="1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hidden="1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hidden="1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hidden="1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hidden="1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hidden="1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hidden="1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hidden="1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hidden="1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hidden="1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hidden="1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hidden="1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hidden="1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hidden="1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hidden="1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hidden="1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hidden="1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hidden="1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hidden="1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hidden="1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hidden="1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hidden="1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hidden="1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hidden="1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hidden="1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hidden="1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hidden="1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hidden="1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hidden="1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hidden="1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hidden="1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hidden="1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hidden="1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hidden="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hidden="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hidden="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hidden="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hidden="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hidden="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hidden="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hidden="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hidden="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hidden="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hidden="1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hidden="1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hidden="1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hidden="1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hidden="1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hidden="1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hidden="1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hidden="1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hidden="1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hidden="1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hidden="1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hidden="1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hidden="1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hidden="1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hidden="1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hidden="1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hidden="1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hidden="1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hidden="1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hidden="1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hidden="1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hidden="1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hidden="1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hidden="1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hidden="1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hidden="1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hidden="1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hidden="1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hidden="1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hidden="1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hidden="1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hidden="1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hidden="1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hidden="1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hidden="1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hidden="1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hidden="1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hidden="1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hidden="1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hidden="1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hidden="1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hidden="1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hidden="1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hidden="1" x14ac:dyDescent="0.55000000000000004">
      <c r="A2480">
        <v>1</v>
      </c>
      <c r="B2480" s="15" t="str">
        <f>A2480 &amp; "_6"</f>
        <v>1_6</v>
      </c>
      <c r="C2480" s="20">
        <v>46233.552083333336</v>
      </c>
      <c r="D2480" t="s">
        <v>166</v>
      </c>
      <c r="E2480">
        <v>2</v>
      </c>
      <c r="F2480" t="s">
        <v>167</v>
      </c>
      <c r="G2480" t="str">
        <f t="shared" si="296"/>
        <v>Gobiomorphus cotidianus</v>
      </c>
      <c r="H2480" t="str">
        <f t="shared" si="300"/>
        <v>Common_bully</v>
      </c>
      <c r="I2480" t="str">
        <f t="shared" si="301"/>
        <v>Toitoi</v>
      </c>
      <c r="J2480" t="str">
        <f t="shared" si="302"/>
        <v>Native</v>
      </c>
      <c r="K2480" t="str">
        <f t="shared" si="303"/>
        <v>No</v>
      </c>
      <c r="O2480">
        <v>10</v>
      </c>
      <c r="T2480" t="str">
        <f t="shared" si="299"/>
        <v/>
      </c>
    </row>
    <row r="2481" spans="1:20" hidden="1" x14ac:dyDescent="0.55000000000000004">
      <c r="A2481">
        <v>1</v>
      </c>
      <c r="B2481" s="15" t="str">
        <f t="shared" ref="B2481:B2544" si="305">A2481 &amp; "_6"</f>
        <v>1_6</v>
      </c>
      <c r="C2481" s="20">
        <v>46233.552083333336</v>
      </c>
      <c r="D2481" t="s">
        <v>172</v>
      </c>
      <c r="E2481">
        <v>2</v>
      </c>
      <c r="F2481" t="s">
        <v>182</v>
      </c>
      <c r="G2481" t="str">
        <f t="shared" si="296"/>
        <v>Galaxias brevipinnis</v>
      </c>
      <c r="H2481" t="str">
        <f t="shared" si="300"/>
        <v>Climbing_galaxias</v>
      </c>
      <c r="I2481" t="str">
        <f t="shared" si="301"/>
        <v>Kōaro</v>
      </c>
      <c r="J2481" t="str">
        <f t="shared" si="302"/>
        <v>Native</v>
      </c>
      <c r="K2481" t="str">
        <f t="shared" si="303"/>
        <v>Yes</v>
      </c>
      <c r="L2481">
        <v>1</v>
      </c>
      <c r="N2481">
        <v>110</v>
      </c>
      <c r="O2481">
        <v>15</v>
      </c>
      <c r="T2481" t="str">
        <f t="shared" si="299"/>
        <v/>
      </c>
    </row>
    <row r="2482" spans="1:20" hidden="1" x14ac:dyDescent="0.55000000000000004">
      <c r="A2482">
        <v>1</v>
      </c>
      <c r="B2482" s="15" t="str">
        <f t="shared" si="305"/>
        <v>1_6</v>
      </c>
      <c r="C2482" s="20">
        <v>46233.552083333336</v>
      </c>
      <c r="D2482" t="s">
        <v>172</v>
      </c>
      <c r="E2482">
        <v>2</v>
      </c>
      <c r="F2482" t="s">
        <v>182</v>
      </c>
      <c r="G2482" t="str">
        <f t="shared" si="296"/>
        <v>Galaxias brevipinnis</v>
      </c>
      <c r="H2482" t="str">
        <f t="shared" si="300"/>
        <v>Climbing_galaxias</v>
      </c>
      <c r="I2482" t="str">
        <f t="shared" si="301"/>
        <v>Kōaro</v>
      </c>
      <c r="J2482" t="str">
        <f t="shared" si="302"/>
        <v>Native</v>
      </c>
      <c r="K2482" t="str">
        <f t="shared" si="303"/>
        <v>Yes</v>
      </c>
      <c r="L2482">
        <v>1</v>
      </c>
      <c r="N2482">
        <v>115</v>
      </c>
      <c r="O2482">
        <v>17</v>
      </c>
      <c r="T2482" t="str">
        <f t="shared" si="299"/>
        <v/>
      </c>
    </row>
    <row r="2483" spans="1:20" hidden="1" x14ac:dyDescent="0.55000000000000004">
      <c r="A2483">
        <v>1</v>
      </c>
      <c r="B2483" s="15" t="str">
        <f t="shared" si="305"/>
        <v>1_6</v>
      </c>
      <c r="C2483" s="20">
        <v>46233.552083333336</v>
      </c>
      <c r="D2483" t="s">
        <v>172</v>
      </c>
      <c r="E2483">
        <v>2</v>
      </c>
      <c r="F2483" t="s">
        <v>182</v>
      </c>
      <c r="G2483" t="str">
        <f t="shared" si="296"/>
        <v>Galaxias brevipinnis</v>
      </c>
      <c r="H2483" t="str">
        <f t="shared" si="300"/>
        <v>Climbing_galaxias</v>
      </c>
      <c r="I2483" t="str">
        <f t="shared" si="301"/>
        <v>Kōaro</v>
      </c>
      <c r="J2483" t="str">
        <f t="shared" si="302"/>
        <v>Native</v>
      </c>
      <c r="K2483" t="str">
        <f t="shared" si="303"/>
        <v>Yes</v>
      </c>
      <c r="L2483">
        <v>1</v>
      </c>
      <c r="N2483">
        <v>105</v>
      </c>
      <c r="O2483">
        <v>14</v>
      </c>
      <c r="T2483" t="str">
        <f t="shared" si="299"/>
        <v/>
      </c>
    </row>
    <row r="2484" spans="1:20" hidden="1" x14ac:dyDescent="0.55000000000000004">
      <c r="A2484">
        <v>1</v>
      </c>
      <c r="B2484" s="15" t="str">
        <f t="shared" si="305"/>
        <v>1_6</v>
      </c>
      <c r="C2484" s="20">
        <v>46233.552083333336</v>
      </c>
      <c r="D2484" t="s">
        <v>172</v>
      </c>
      <c r="E2484">
        <v>2</v>
      </c>
      <c r="F2484" t="s">
        <v>182</v>
      </c>
      <c r="G2484" t="str">
        <f t="shared" si="296"/>
        <v>Galaxias brevipinnis</v>
      </c>
      <c r="H2484" t="str">
        <f t="shared" si="300"/>
        <v>Climbing_galaxias</v>
      </c>
      <c r="I2484" t="str">
        <f t="shared" si="301"/>
        <v>Kōaro</v>
      </c>
      <c r="J2484" t="str">
        <f t="shared" si="302"/>
        <v>Native</v>
      </c>
      <c r="K2484" t="str">
        <f t="shared" si="303"/>
        <v>Yes</v>
      </c>
      <c r="L2484">
        <v>1</v>
      </c>
      <c r="N2484">
        <v>100</v>
      </c>
      <c r="O2484">
        <v>11</v>
      </c>
      <c r="T2484" t="str">
        <f t="shared" si="299"/>
        <v/>
      </c>
    </row>
    <row r="2485" spans="1:20" hidden="1" x14ac:dyDescent="0.55000000000000004">
      <c r="A2485">
        <v>1</v>
      </c>
      <c r="B2485" s="15" t="str">
        <f t="shared" si="305"/>
        <v>1_6</v>
      </c>
      <c r="C2485" s="20">
        <v>46233.552083333336</v>
      </c>
      <c r="D2485" t="s">
        <v>172</v>
      </c>
      <c r="E2485">
        <v>2</v>
      </c>
      <c r="F2485" t="s">
        <v>182</v>
      </c>
      <c r="G2485" t="str">
        <f t="shared" si="296"/>
        <v>Galaxias brevipinnis</v>
      </c>
      <c r="H2485" t="str">
        <f t="shared" si="300"/>
        <v>Climbing_galaxias</v>
      </c>
      <c r="I2485" t="str">
        <f t="shared" si="301"/>
        <v>Kōaro</v>
      </c>
      <c r="J2485" t="str">
        <f t="shared" si="302"/>
        <v>Native</v>
      </c>
      <c r="K2485" t="str">
        <f t="shared" si="303"/>
        <v>Yes</v>
      </c>
      <c r="L2485">
        <v>1</v>
      </c>
      <c r="N2485">
        <v>80</v>
      </c>
      <c r="O2485">
        <v>4</v>
      </c>
      <c r="T2485" t="str">
        <f t="shared" si="299"/>
        <v/>
      </c>
    </row>
    <row r="2486" spans="1:20" hidden="1" x14ac:dyDescent="0.55000000000000004">
      <c r="A2486">
        <v>1</v>
      </c>
      <c r="B2486" s="15" t="str">
        <f t="shared" si="305"/>
        <v>1_6</v>
      </c>
      <c r="C2486" s="20">
        <v>46233.552083333336</v>
      </c>
      <c r="D2486" t="s">
        <v>172</v>
      </c>
      <c r="E2486">
        <v>2</v>
      </c>
      <c r="F2486" t="s">
        <v>182</v>
      </c>
      <c r="G2486" t="str">
        <f t="shared" ref="G2486:G2549" si="306">VLOOKUP($F2486, $W$1:$AB$10, 2, FALSE)</f>
        <v>Galaxias brevipinnis</v>
      </c>
      <c r="H2486" t="str">
        <f t="shared" si="300"/>
        <v>Climbing_galaxias</v>
      </c>
      <c r="I2486" t="str">
        <f t="shared" si="301"/>
        <v>Kōaro</v>
      </c>
      <c r="J2486" t="str">
        <f t="shared" si="302"/>
        <v>Native</v>
      </c>
      <c r="K2486" t="str">
        <f t="shared" si="303"/>
        <v>Yes</v>
      </c>
      <c r="L2486">
        <v>1</v>
      </c>
      <c r="N2486">
        <v>80</v>
      </c>
      <c r="O2486">
        <v>5</v>
      </c>
      <c r="T2486" t="str">
        <f t="shared" si="299"/>
        <v/>
      </c>
    </row>
    <row r="2487" spans="1:20" hidden="1" x14ac:dyDescent="0.55000000000000004">
      <c r="A2487">
        <v>1</v>
      </c>
      <c r="B2487" s="15" t="str">
        <f t="shared" si="305"/>
        <v>1_6</v>
      </c>
      <c r="C2487" s="20">
        <v>46233.552083333336</v>
      </c>
      <c r="D2487" t="s">
        <v>172</v>
      </c>
      <c r="E2487">
        <v>2</v>
      </c>
      <c r="F2487" t="s">
        <v>181</v>
      </c>
      <c r="G2487" t="str">
        <f t="shared" si="306"/>
        <v>Retropinna retropinna</v>
      </c>
      <c r="H2487" t="str">
        <f t="shared" si="300"/>
        <v>Common_smelt</v>
      </c>
      <c r="I2487" t="str">
        <f t="shared" si="301"/>
        <v>Common_smelt</v>
      </c>
      <c r="J2487" t="str">
        <f t="shared" si="302"/>
        <v>Native</v>
      </c>
      <c r="K2487" t="str">
        <f t="shared" si="303"/>
        <v>No</v>
      </c>
      <c r="O2487">
        <v>33</v>
      </c>
      <c r="T2487" t="str">
        <f t="shared" si="299"/>
        <v/>
      </c>
    </row>
    <row r="2488" spans="1:20" hidden="1" x14ac:dyDescent="0.55000000000000004">
      <c r="A2488">
        <v>1</v>
      </c>
      <c r="B2488" s="15" t="str">
        <f t="shared" si="305"/>
        <v>1_6</v>
      </c>
      <c r="C2488" s="20">
        <v>46233.552083333336</v>
      </c>
      <c r="D2488" t="s">
        <v>172</v>
      </c>
      <c r="E2488">
        <v>2</v>
      </c>
      <c r="F2488" t="s">
        <v>167</v>
      </c>
      <c r="G2488" t="str">
        <f t="shared" si="306"/>
        <v>Gobiomorphus cotidianus</v>
      </c>
      <c r="H2488" t="str">
        <f t="shared" si="300"/>
        <v>Common_bully</v>
      </c>
      <c r="I2488" t="str">
        <f t="shared" si="301"/>
        <v>Toitoi</v>
      </c>
      <c r="J2488" t="str">
        <f t="shared" si="302"/>
        <v>Native</v>
      </c>
      <c r="K2488" t="str">
        <f t="shared" si="303"/>
        <v>No</v>
      </c>
      <c r="O2488">
        <v>582</v>
      </c>
      <c r="S2488">
        <v>2.5</v>
      </c>
      <c r="T2488">
        <f t="shared" si="299"/>
        <v>591.47</v>
      </c>
    </row>
    <row r="2489" spans="1:20" hidden="1" x14ac:dyDescent="0.55000000000000004">
      <c r="A2489">
        <v>1</v>
      </c>
      <c r="B2489" s="15" t="str">
        <f t="shared" si="305"/>
        <v>1_6</v>
      </c>
      <c r="C2489" s="20">
        <v>46233.552083333336</v>
      </c>
      <c r="D2489" t="s">
        <v>172</v>
      </c>
      <c r="E2489">
        <v>2</v>
      </c>
      <c r="F2489" t="s">
        <v>167</v>
      </c>
      <c r="G2489" t="str">
        <f t="shared" si="306"/>
        <v>Gobiomorphus cotidianus</v>
      </c>
      <c r="H2489" t="str">
        <f t="shared" si="300"/>
        <v>Common_bully</v>
      </c>
      <c r="I2489" t="str">
        <f t="shared" si="301"/>
        <v>Toitoi</v>
      </c>
      <c r="J2489" t="str">
        <f t="shared" si="302"/>
        <v>Native</v>
      </c>
      <c r="K2489" t="str">
        <f t="shared" si="303"/>
        <v>No</v>
      </c>
      <c r="O2489">
        <v>291</v>
      </c>
      <c r="S2489">
        <v>1.5</v>
      </c>
      <c r="T2489">
        <f t="shared" si="299"/>
        <v>354.88200000000001</v>
      </c>
    </row>
    <row r="2490" spans="1:20" hidden="1" x14ac:dyDescent="0.55000000000000004">
      <c r="A2490">
        <v>1</v>
      </c>
      <c r="B2490" s="15" t="str">
        <f t="shared" si="305"/>
        <v>1_6</v>
      </c>
      <c r="C2490" s="20">
        <v>46233.552083333336</v>
      </c>
      <c r="D2490" t="s">
        <v>172</v>
      </c>
      <c r="E2490">
        <v>2</v>
      </c>
      <c r="F2490" t="s">
        <v>182</v>
      </c>
      <c r="G2490" t="str">
        <f t="shared" si="306"/>
        <v>Galaxias brevipinnis</v>
      </c>
      <c r="H2490" t="str">
        <f t="shared" si="300"/>
        <v>Climbing_galaxias</v>
      </c>
      <c r="I2490" t="str">
        <f t="shared" si="301"/>
        <v>Kōaro</v>
      </c>
      <c r="J2490" t="str">
        <f t="shared" si="302"/>
        <v>Native</v>
      </c>
      <c r="K2490" t="str">
        <f t="shared" si="303"/>
        <v>Yes</v>
      </c>
      <c r="L2490">
        <v>1</v>
      </c>
      <c r="N2490">
        <v>90</v>
      </c>
      <c r="O2490">
        <v>6</v>
      </c>
      <c r="T2490" t="str">
        <f t="shared" si="299"/>
        <v/>
      </c>
    </row>
    <row r="2491" spans="1:20" hidden="1" x14ac:dyDescent="0.55000000000000004">
      <c r="A2491">
        <v>1</v>
      </c>
      <c r="B2491" s="15" t="str">
        <f t="shared" si="305"/>
        <v>1_6</v>
      </c>
      <c r="C2491" s="20">
        <v>46233.552083333336</v>
      </c>
      <c r="D2491" t="s">
        <v>172</v>
      </c>
      <c r="E2491">
        <v>2</v>
      </c>
      <c r="F2491" t="s">
        <v>182</v>
      </c>
      <c r="G2491" t="str">
        <f t="shared" si="306"/>
        <v>Galaxias brevipinnis</v>
      </c>
      <c r="H2491" t="str">
        <f t="shared" si="300"/>
        <v>Climbing_galaxias</v>
      </c>
      <c r="I2491" t="str">
        <f t="shared" si="301"/>
        <v>Kōaro</v>
      </c>
      <c r="J2491" t="str">
        <f t="shared" si="302"/>
        <v>Native</v>
      </c>
      <c r="K2491" t="str">
        <f t="shared" si="303"/>
        <v>Yes</v>
      </c>
      <c r="L2491">
        <v>1</v>
      </c>
      <c r="N2491">
        <v>85</v>
      </c>
      <c r="O2491">
        <v>6</v>
      </c>
      <c r="T2491" t="str">
        <f t="shared" si="299"/>
        <v/>
      </c>
    </row>
    <row r="2492" spans="1:20" hidden="1" x14ac:dyDescent="0.55000000000000004">
      <c r="A2492">
        <v>2</v>
      </c>
      <c r="B2492" s="15" t="str">
        <f t="shared" si="305"/>
        <v>2_6</v>
      </c>
      <c r="C2492" s="20">
        <v>46233.53125</v>
      </c>
      <c r="D2492" t="s">
        <v>166</v>
      </c>
      <c r="E2492">
        <v>2</v>
      </c>
      <c r="F2492" t="s">
        <v>167</v>
      </c>
      <c r="G2492" t="str">
        <f t="shared" si="306"/>
        <v>Gobiomorphus cotidianus</v>
      </c>
      <c r="H2492" t="str">
        <f t="shared" si="300"/>
        <v>Common_bully</v>
      </c>
      <c r="I2492" t="str">
        <f t="shared" si="301"/>
        <v>Toitoi</v>
      </c>
      <c r="J2492" t="str">
        <f t="shared" si="302"/>
        <v>Native</v>
      </c>
      <c r="K2492" t="str">
        <f t="shared" si="303"/>
        <v>No</v>
      </c>
      <c r="L2492">
        <v>8</v>
      </c>
      <c r="O2492">
        <v>18</v>
      </c>
      <c r="T2492" t="str">
        <f t="shared" si="299"/>
        <v/>
      </c>
    </row>
    <row r="2493" spans="1:20" hidden="1" x14ac:dyDescent="0.55000000000000004">
      <c r="A2493">
        <v>2</v>
      </c>
      <c r="B2493" s="15" t="str">
        <f t="shared" si="305"/>
        <v>2_6</v>
      </c>
      <c r="C2493" s="20">
        <v>46233.53125</v>
      </c>
      <c r="D2493" t="s">
        <v>172</v>
      </c>
      <c r="E2493">
        <v>2</v>
      </c>
      <c r="F2493" t="s">
        <v>182</v>
      </c>
      <c r="G2493" t="str">
        <f t="shared" si="306"/>
        <v>Galaxias brevipinnis</v>
      </c>
      <c r="H2493" t="str">
        <f t="shared" si="300"/>
        <v>Climbing_galaxias</v>
      </c>
      <c r="I2493" t="str">
        <f t="shared" si="301"/>
        <v>Kōaro</v>
      </c>
      <c r="J2493" t="str">
        <f t="shared" si="302"/>
        <v>Native</v>
      </c>
      <c r="K2493" t="str">
        <f t="shared" si="303"/>
        <v>Yes</v>
      </c>
      <c r="L2493">
        <v>1</v>
      </c>
      <c r="N2493">
        <v>85</v>
      </c>
      <c r="O2493">
        <v>4</v>
      </c>
      <c r="T2493" t="str">
        <f t="shared" si="299"/>
        <v/>
      </c>
    </row>
    <row r="2494" spans="1:20" hidden="1" x14ac:dyDescent="0.55000000000000004">
      <c r="A2494">
        <v>2</v>
      </c>
      <c r="B2494" s="15" t="str">
        <f t="shared" si="305"/>
        <v>2_6</v>
      </c>
      <c r="C2494" s="20">
        <v>46233.53125</v>
      </c>
      <c r="D2494" t="s">
        <v>172</v>
      </c>
      <c r="E2494">
        <v>2</v>
      </c>
      <c r="F2494" t="s">
        <v>182</v>
      </c>
      <c r="G2494" t="str">
        <f t="shared" si="306"/>
        <v>Galaxias brevipinnis</v>
      </c>
      <c r="H2494" t="str">
        <f t="shared" si="300"/>
        <v>Climbing_galaxias</v>
      </c>
      <c r="I2494" t="str">
        <f t="shared" si="301"/>
        <v>Kōaro</v>
      </c>
      <c r="J2494" t="str">
        <f t="shared" si="302"/>
        <v>Native</v>
      </c>
      <c r="K2494" t="str">
        <f t="shared" si="303"/>
        <v>Yes</v>
      </c>
      <c r="L2494">
        <v>1</v>
      </c>
      <c r="N2494">
        <v>90</v>
      </c>
      <c r="O2494">
        <v>6</v>
      </c>
      <c r="T2494" t="str">
        <f t="shared" si="299"/>
        <v/>
      </c>
    </row>
    <row r="2495" spans="1:20" hidden="1" x14ac:dyDescent="0.55000000000000004">
      <c r="A2495">
        <v>2</v>
      </c>
      <c r="B2495" s="15" t="str">
        <f t="shared" si="305"/>
        <v>2_6</v>
      </c>
      <c r="C2495" s="20">
        <v>46233.53125</v>
      </c>
      <c r="D2495" t="s">
        <v>172</v>
      </c>
      <c r="E2495">
        <v>2</v>
      </c>
      <c r="F2495" t="s">
        <v>182</v>
      </c>
      <c r="G2495" t="str">
        <f t="shared" si="306"/>
        <v>Galaxias brevipinnis</v>
      </c>
      <c r="H2495" t="str">
        <f t="shared" si="300"/>
        <v>Climbing_galaxias</v>
      </c>
      <c r="I2495" t="str">
        <f t="shared" si="301"/>
        <v>Kōaro</v>
      </c>
      <c r="J2495" t="str">
        <f t="shared" si="302"/>
        <v>Native</v>
      </c>
      <c r="K2495" t="str">
        <f t="shared" si="303"/>
        <v>Yes</v>
      </c>
      <c r="L2495">
        <v>1</v>
      </c>
      <c r="N2495">
        <v>90</v>
      </c>
      <c r="O2495">
        <v>6</v>
      </c>
      <c r="T2495" t="str">
        <f t="shared" si="299"/>
        <v/>
      </c>
    </row>
    <row r="2496" spans="1:20" hidden="1" x14ac:dyDescent="0.55000000000000004">
      <c r="A2496">
        <v>2</v>
      </c>
      <c r="B2496" s="15" t="str">
        <f t="shared" si="305"/>
        <v>2_6</v>
      </c>
      <c r="C2496" s="20">
        <v>46233.53125</v>
      </c>
      <c r="D2496" t="s">
        <v>172</v>
      </c>
      <c r="E2496">
        <v>2</v>
      </c>
      <c r="F2496" t="s">
        <v>182</v>
      </c>
      <c r="G2496" t="str">
        <f t="shared" si="306"/>
        <v>Galaxias brevipinnis</v>
      </c>
      <c r="H2496" t="str">
        <f t="shared" si="300"/>
        <v>Climbing_galaxias</v>
      </c>
      <c r="I2496" t="str">
        <f t="shared" si="301"/>
        <v>Kōaro</v>
      </c>
      <c r="J2496" t="str">
        <f t="shared" si="302"/>
        <v>Native</v>
      </c>
      <c r="K2496" t="str">
        <f t="shared" si="303"/>
        <v>Yes</v>
      </c>
      <c r="L2496">
        <v>1</v>
      </c>
      <c r="N2496">
        <v>90</v>
      </c>
      <c r="O2496">
        <v>6</v>
      </c>
      <c r="T2496" t="str">
        <f t="shared" si="299"/>
        <v/>
      </c>
    </row>
    <row r="2497" spans="1:20" hidden="1" x14ac:dyDescent="0.55000000000000004">
      <c r="A2497">
        <v>2</v>
      </c>
      <c r="B2497" s="15" t="str">
        <f t="shared" si="305"/>
        <v>2_6</v>
      </c>
      <c r="C2497" s="20">
        <v>46233.53125</v>
      </c>
      <c r="D2497" t="s">
        <v>172</v>
      </c>
      <c r="E2497">
        <v>2</v>
      </c>
      <c r="F2497" t="s">
        <v>182</v>
      </c>
      <c r="G2497" t="str">
        <f t="shared" si="306"/>
        <v>Galaxias brevipinnis</v>
      </c>
      <c r="H2497" t="str">
        <f t="shared" si="300"/>
        <v>Climbing_galaxias</v>
      </c>
      <c r="I2497" t="str">
        <f t="shared" si="301"/>
        <v>Kōaro</v>
      </c>
      <c r="J2497" t="str">
        <f t="shared" si="302"/>
        <v>Native</v>
      </c>
      <c r="K2497" t="str">
        <f t="shared" si="303"/>
        <v>Yes</v>
      </c>
      <c r="L2497">
        <v>1</v>
      </c>
      <c r="N2497">
        <v>100</v>
      </c>
      <c r="O2497">
        <v>11</v>
      </c>
      <c r="T2497" t="str">
        <f t="shared" si="299"/>
        <v/>
      </c>
    </row>
    <row r="2498" spans="1:20" hidden="1" x14ac:dyDescent="0.55000000000000004">
      <c r="A2498">
        <v>2</v>
      </c>
      <c r="B2498" s="15" t="str">
        <f t="shared" si="305"/>
        <v>2_6</v>
      </c>
      <c r="C2498" s="20">
        <v>46233.53125</v>
      </c>
      <c r="D2498" t="s">
        <v>172</v>
      </c>
      <c r="E2498">
        <v>2</v>
      </c>
      <c r="F2498" t="s">
        <v>182</v>
      </c>
      <c r="G2498" t="str">
        <f t="shared" si="306"/>
        <v>Galaxias brevipinnis</v>
      </c>
      <c r="H2498" t="str">
        <f t="shared" si="300"/>
        <v>Climbing_galaxias</v>
      </c>
      <c r="I2498" t="str">
        <f t="shared" si="301"/>
        <v>Kōaro</v>
      </c>
      <c r="J2498" t="str">
        <f t="shared" si="302"/>
        <v>Native</v>
      </c>
      <c r="K2498" t="str">
        <f t="shared" si="303"/>
        <v>Yes</v>
      </c>
      <c r="L2498">
        <v>1</v>
      </c>
      <c r="N2498">
        <v>115</v>
      </c>
      <c r="O2498">
        <v>18</v>
      </c>
      <c r="T2498" t="str">
        <f t="shared" si="299"/>
        <v/>
      </c>
    </row>
    <row r="2499" spans="1:20" hidden="1" x14ac:dyDescent="0.55000000000000004">
      <c r="A2499">
        <v>2</v>
      </c>
      <c r="B2499" s="15" t="str">
        <f t="shared" si="305"/>
        <v>2_6</v>
      </c>
      <c r="C2499" s="20">
        <v>46233.53125</v>
      </c>
      <c r="D2499" t="s">
        <v>172</v>
      </c>
      <c r="E2499">
        <v>2</v>
      </c>
      <c r="F2499" t="s">
        <v>182</v>
      </c>
      <c r="G2499" t="str">
        <f t="shared" si="306"/>
        <v>Galaxias brevipinnis</v>
      </c>
      <c r="H2499" t="str">
        <f t="shared" si="300"/>
        <v>Climbing_galaxias</v>
      </c>
      <c r="I2499" t="str">
        <f t="shared" si="301"/>
        <v>Kōaro</v>
      </c>
      <c r="J2499" t="str">
        <f t="shared" si="302"/>
        <v>Native</v>
      </c>
      <c r="K2499" t="str">
        <f t="shared" si="303"/>
        <v>Yes</v>
      </c>
      <c r="L2499">
        <v>1</v>
      </c>
      <c r="N2499">
        <v>110</v>
      </c>
      <c r="O2499">
        <v>15</v>
      </c>
      <c r="T2499" t="str">
        <f t="shared" si="299"/>
        <v/>
      </c>
    </row>
    <row r="2500" spans="1:20" hidden="1" x14ac:dyDescent="0.55000000000000004">
      <c r="A2500">
        <v>2</v>
      </c>
      <c r="B2500" s="15" t="str">
        <f t="shared" si="305"/>
        <v>2_6</v>
      </c>
      <c r="C2500" s="20">
        <v>46233.53125</v>
      </c>
      <c r="D2500" t="s">
        <v>172</v>
      </c>
      <c r="E2500">
        <v>2</v>
      </c>
      <c r="F2500" t="s">
        <v>182</v>
      </c>
      <c r="G2500" t="str">
        <f t="shared" si="306"/>
        <v>Galaxias brevipinnis</v>
      </c>
      <c r="H2500" t="str">
        <f t="shared" si="300"/>
        <v>Climbing_galaxias</v>
      </c>
      <c r="I2500" t="str">
        <f t="shared" si="301"/>
        <v>Kōaro</v>
      </c>
      <c r="J2500" t="str">
        <f t="shared" si="302"/>
        <v>Native</v>
      </c>
      <c r="K2500" t="str">
        <f t="shared" si="303"/>
        <v>Yes</v>
      </c>
      <c r="L2500">
        <v>1</v>
      </c>
      <c r="N2500">
        <v>95</v>
      </c>
      <c r="O2500">
        <v>7</v>
      </c>
      <c r="T2500" t="str">
        <f t="shared" ref="T2500:T2563" si="307">IF(S2500&lt;&gt;"", S2500*236.588, "")</f>
        <v/>
      </c>
    </row>
    <row r="2501" spans="1:20" hidden="1" x14ac:dyDescent="0.55000000000000004">
      <c r="A2501">
        <v>2</v>
      </c>
      <c r="B2501" s="15" t="str">
        <f t="shared" si="305"/>
        <v>2_6</v>
      </c>
      <c r="C2501" s="20">
        <v>46233.53125</v>
      </c>
      <c r="D2501" t="s">
        <v>172</v>
      </c>
      <c r="E2501">
        <v>2</v>
      </c>
      <c r="F2501" t="s">
        <v>182</v>
      </c>
      <c r="G2501" t="str">
        <f t="shared" si="306"/>
        <v>Galaxias brevipinnis</v>
      </c>
      <c r="H2501" t="str">
        <f t="shared" si="300"/>
        <v>Climbing_galaxias</v>
      </c>
      <c r="I2501" t="str">
        <f t="shared" si="301"/>
        <v>Kōaro</v>
      </c>
      <c r="J2501" t="str">
        <f t="shared" si="302"/>
        <v>Native</v>
      </c>
      <c r="K2501" t="str">
        <f t="shared" si="303"/>
        <v>Yes</v>
      </c>
      <c r="L2501">
        <v>1</v>
      </c>
      <c r="N2501">
        <v>85</v>
      </c>
      <c r="O2501">
        <v>6</v>
      </c>
      <c r="T2501" t="str">
        <f t="shared" si="307"/>
        <v/>
      </c>
    </row>
    <row r="2502" spans="1:20" hidden="1" x14ac:dyDescent="0.55000000000000004">
      <c r="A2502">
        <v>2</v>
      </c>
      <c r="B2502" s="15" t="str">
        <f t="shared" si="305"/>
        <v>2_6</v>
      </c>
      <c r="C2502" s="20">
        <v>46233.53125</v>
      </c>
      <c r="D2502" t="s">
        <v>172</v>
      </c>
      <c r="E2502">
        <v>2</v>
      </c>
      <c r="F2502" t="s">
        <v>182</v>
      </c>
      <c r="G2502" t="str">
        <f t="shared" si="306"/>
        <v>Galaxias brevipinnis</v>
      </c>
      <c r="H2502" t="str">
        <f t="shared" si="300"/>
        <v>Climbing_galaxias</v>
      </c>
      <c r="I2502" t="str">
        <f t="shared" si="301"/>
        <v>Kōaro</v>
      </c>
      <c r="J2502" t="str">
        <f t="shared" si="302"/>
        <v>Native</v>
      </c>
      <c r="K2502" t="str">
        <f t="shared" si="303"/>
        <v>Yes</v>
      </c>
      <c r="L2502">
        <v>1</v>
      </c>
      <c r="N2502">
        <v>85</v>
      </c>
      <c r="O2502">
        <v>7</v>
      </c>
      <c r="T2502" t="str">
        <f t="shared" si="307"/>
        <v/>
      </c>
    </row>
    <row r="2503" spans="1:20" hidden="1" x14ac:dyDescent="0.55000000000000004">
      <c r="A2503">
        <v>2</v>
      </c>
      <c r="B2503" s="15" t="str">
        <f t="shared" si="305"/>
        <v>2_6</v>
      </c>
      <c r="C2503" s="20">
        <v>46233.53125</v>
      </c>
      <c r="D2503" t="s">
        <v>172</v>
      </c>
      <c r="E2503">
        <v>2</v>
      </c>
      <c r="F2503" t="s">
        <v>182</v>
      </c>
      <c r="G2503" t="str">
        <f t="shared" si="306"/>
        <v>Galaxias brevipinnis</v>
      </c>
      <c r="H2503" t="str">
        <f t="shared" si="300"/>
        <v>Climbing_galaxias</v>
      </c>
      <c r="I2503" t="str">
        <f t="shared" si="301"/>
        <v>Kōaro</v>
      </c>
      <c r="J2503" t="str">
        <f t="shared" si="302"/>
        <v>Native</v>
      </c>
      <c r="K2503" t="str">
        <f t="shared" si="303"/>
        <v>Yes</v>
      </c>
      <c r="L2503">
        <v>1</v>
      </c>
      <c r="N2503">
        <v>95</v>
      </c>
      <c r="O2503">
        <v>9</v>
      </c>
      <c r="T2503" t="str">
        <f t="shared" si="307"/>
        <v/>
      </c>
    </row>
    <row r="2504" spans="1:20" hidden="1" x14ac:dyDescent="0.55000000000000004">
      <c r="A2504">
        <v>2</v>
      </c>
      <c r="B2504" s="15" t="str">
        <f t="shared" si="305"/>
        <v>2_6</v>
      </c>
      <c r="C2504" s="20">
        <v>46233.53125</v>
      </c>
      <c r="D2504" t="s">
        <v>172</v>
      </c>
      <c r="E2504">
        <v>2</v>
      </c>
      <c r="F2504" t="s">
        <v>182</v>
      </c>
      <c r="G2504" t="str">
        <f t="shared" si="306"/>
        <v>Galaxias brevipinnis</v>
      </c>
      <c r="H2504" t="str">
        <f t="shared" si="300"/>
        <v>Climbing_galaxias</v>
      </c>
      <c r="I2504" t="str">
        <f t="shared" si="301"/>
        <v>Kōaro</v>
      </c>
      <c r="J2504" t="str">
        <f t="shared" si="302"/>
        <v>Native</v>
      </c>
      <c r="K2504" t="str">
        <f t="shared" si="303"/>
        <v>Yes</v>
      </c>
      <c r="L2504">
        <v>1</v>
      </c>
      <c r="N2504">
        <v>95</v>
      </c>
      <c r="O2504">
        <v>9</v>
      </c>
      <c r="T2504" t="str">
        <f t="shared" si="307"/>
        <v/>
      </c>
    </row>
    <row r="2505" spans="1:20" hidden="1" x14ac:dyDescent="0.55000000000000004">
      <c r="A2505">
        <v>2</v>
      </c>
      <c r="B2505" s="15" t="str">
        <f t="shared" si="305"/>
        <v>2_6</v>
      </c>
      <c r="C2505" s="20">
        <v>46233.53125</v>
      </c>
      <c r="D2505" t="s">
        <v>172</v>
      </c>
      <c r="E2505">
        <v>2</v>
      </c>
      <c r="F2505" t="s">
        <v>182</v>
      </c>
      <c r="G2505" t="str">
        <f t="shared" si="306"/>
        <v>Galaxias brevipinnis</v>
      </c>
      <c r="H2505" t="str">
        <f t="shared" si="300"/>
        <v>Climbing_galaxias</v>
      </c>
      <c r="I2505" t="str">
        <f t="shared" si="301"/>
        <v>Kōaro</v>
      </c>
      <c r="J2505" t="str">
        <f t="shared" si="302"/>
        <v>Native</v>
      </c>
      <c r="K2505" t="str">
        <f t="shared" si="303"/>
        <v>Yes</v>
      </c>
      <c r="L2505">
        <v>1</v>
      </c>
      <c r="N2505">
        <v>90</v>
      </c>
      <c r="O2505">
        <v>7</v>
      </c>
      <c r="T2505" t="str">
        <f t="shared" si="307"/>
        <v/>
      </c>
    </row>
    <row r="2506" spans="1:20" hidden="1" x14ac:dyDescent="0.55000000000000004">
      <c r="A2506">
        <v>2</v>
      </c>
      <c r="B2506" s="15" t="str">
        <f t="shared" si="305"/>
        <v>2_6</v>
      </c>
      <c r="C2506" s="20">
        <v>46233.53125</v>
      </c>
      <c r="D2506" t="s">
        <v>172</v>
      </c>
      <c r="E2506">
        <v>2</v>
      </c>
      <c r="F2506" t="s">
        <v>182</v>
      </c>
      <c r="G2506" t="str">
        <f t="shared" si="306"/>
        <v>Galaxias brevipinnis</v>
      </c>
      <c r="H2506" t="str">
        <f t="shared" si="300"/>
        <v>Climbing_galaxias</v>
      </c>
      <c r="I2506" t="str">
        <f t="shared" si="301"/>
        <v>Kōaro</v>
      </c>
      <c r="J2506" t="str">
        <f t="shared" si="302"/>
        <v>Native</v>
      </c>
      <c r="K2506" t="str">
        <f t="shared" si="303"/>
        <v>Yes</v>
      </c>
      <c r="L2506">
        <v>1</v>
      </c>
      <c r="N2506">
        <v>60</v>
      </c>
      <c r="O2506">
        <v>2</v>
      </c>
      <c r="T2506" t="str">
        <f t="shared" si="307"/>
        <v/>
      </c>
    </row>
    <row r="2507" spans="1:20" hidden="1" x14ac:dyDescent="0.55000000000000004">
      <c r="A2507">
        <v>2</v>
      </c>
      <c r="B2507" s="15" t="str">
        <f t="shared" si="305"/>
        <v>2_6</v>
      </c>
      <c r="C2507" s="20">
        <v>46233.53125</v>
      </c>
      <c r="D2507" t="s">
        <v>172</v>
      </c>
      <c r="E2507">
        <v>2</v>
      </c>
      <c r="F2507" t="s">
        <v>182</v>
      </c>
      <c r="G2507" t="str">
        <f t="shared" si="306"/>
        <v>Galaxias brevipinnis</v>
      </c>
      <c r="H2507" t="str">
        <f t="shared" si="300"/>
        <v>Climbing_galaxias</v>
      </c>
      <c r="I2507" t="str">
        <f t="shared" si="301"/>
        <v>Kōaro</v>
      </c>
      <c r="J2507" t="str">
        <f t="shared" si="302"/>
        <v>Native</v>
      </c>
      <c r="K2507" t="str">
        <f t="shared" si="303"/>
        <v>Yes</v>
      </c>
      <c r="L2507">
        <v>1</v>
      </c>
      <c r="N2507">
        <v>90</v>
      </c>
      <c r="O2507">
        <v>16</v>
      </c>
      <c r="T2507" t="str">
        <f t="shared" si="307"/>
        <v/>
      </c>
    </row>
    <row r="2508" spans="1:20" hidden="1" x14ac:dyDescent="0.55000000000000004">
      <c r="A2508">
        <v>2</v>
      </c>
      <c r="B2508" s="15" t="str">
        <f t="shared" si="305"/>
        <v>2_6</v>
      </c>
      <c r="C2508" s="20">
        <v>46233.53125</v>
      </c>
      <c r="D2508" t="s">
        <v>172</v>
      </c>
      <c r="E2508">
        <v>2</v>
      </c>
      <c r="F2508" t="s">
        <v>182</v>
      </c>
      <c r="G2508" t="str">
        <f t="shared" si="306"/>
        <v>Galaxias brevipinnis</v>
      </c>
      <c r="H2508" t="str">
        <f t="shared" si="300"/>
        <v>Climbing_galaxias</v>
      </c>
      <c r="I2508" t="str">
        <f t="shared" si="301"/>
        <v>Kōaro</v>
      </c>
      <c r="J2508" t="str">
        <f t="shared" si="302"/>
        <v>Native</v>
      </c>
      <c r="K2508" t="str">
        <f t="shared" si="303"/>
        <v>Yes</v>
      </c>
      <c r="L2508">
        <v>1</v>
      </c>
      <c r="N2508">
        <v>90</v>
      </c>
      <c r="O2508">
        <v>6</v>
      </c>
      <c r="T2508" t="str">
        <f t="shared" si="307"/>
        <v/>
      </c>
    </row>
    <row r="2509" spans="1:20" hidden="1" x14ac:dyDescent="0.55000000000000004">
      <c r="A2509">
        <v>2</v>
      </c>
      <c r="B2509" s="15" t="str">
        <f t="shared" si="305"/>
        <v>2_6</v>
      </c>
      <c r="C2509" s="20">
        <v>46233.53125</v>
      </c>
      <c r="D2509" t="s">
        <v>172</v>
      </c>
      <c r="E2509">
        <v>2</v>
      </c>
      <c r="F2509" t="s">
        <v>181</v>
      </c>
      <c r="G2509" t="str">
        <f t="shared" si="306"/>
        <v>Retropinna retropinna</v>
      </c>
      <c r="H2509" t="str">
        <f t="shared" si="300"/>
        <v>Common_smelt</v>
      </c>
      <c r="I2509" t="str">
        <f t="shared" si="301"/>
        <v>Common_smelt</v>
      </c>
      <c r="J2509" t="str">
        <f t="shared" si="302"/>
        <v>Native</v>
      </c>
      <c r="K2509" t="str">
        <f t="shared" si="303"/>
        <v>No</v>
      </c>
      <c r="O2509">
        <v>344</v>
      </c>
      <c r="S2509">
        <v>2</v>
      </c>
      <c r="T2509">
        <f t="shared" si="307"/>
        <v>473.17599999999999</v>
      </c>
    </row>
    <row r="2510" spans="1:20" x14ac:dyDescent="0.55000000000000004">
      <c r="A2510">
        <v>2</v>
      </c>
      <c r="B2510" s="15" t="str">
        <f t="shared" si="305"/>
        <v>2_6</v>
      </c>
      <c r="C2510" s="20">
        <v>46233.53125</v>
      </c>
      <c r="D2510" t="s">
        <v>172</v>
      </c>
      <c r="E2510">
        <v>2</v>
      </c>
      <c r="F2510" t="s">
        <v>168</v>
      </c>
      <c r="G2510" t="str">
        <f t="shared" si="306"/>
        <v>Paranephrops planifrons</v>
      </c>
      <c r="H2510" t="str">
        <f t="shared" si="300"/>
        <v>Freshwater_crayfish</v>
      </c>
      <c r="I2510" t="str">
        <f t="shared" si="301"/>
        <v>Kōura</v>
      </c>
      <c r="J2510" t="str">
        <f t="shared" si="302"/>
        <v>Native</v>
      </c>
      <c r="K2510" t="str">
        <f t="shared" si="303"/>
        <v>Yes</v>
      </c>
      <c r="L2510">
        <v>1</v>
      </c>
      <c r="M2510" t="s">
        <v>199</v>
      </c>
      <c r="N2510">
        <v>29</v>
      </c>
      <c r="O2510">
        <v>17</v>
      </c>
      <c r="T2510" t="str">
        <f t="shared" si="307"/>
        <v/>
      </c>
    </row>
    <row r="2511" spans="1:20" hidden="1" x14ac:dyDescent="0.55000000000000004">
      <c r="A2511">
        <v>2</v>
      </c>
      <c r="B2511" s="15" t="str">
        <f t="shared" si="305"/>
        <v>2_6</v>
      </c>
      <c r="C2511" s="20">
        <v>46233.53125</v>
      </c>
      <c r="D2511" t="s">
        <v>172</v>
      </c>
      <c r="E2511">
        <v>2</v>
      </c>
      <c r="F2511" t="s">
        <v>167</v>
      </c>
      <c r="G2511" t="str">
        <f t="shared" si="306"/>
        <v>Gobiomorphus cotidianus</v>
      </c>
      <c r="H2511" t="str">
        <f t="shared" si="300"/>
        <v>Common_bully</v>
      </c>
      <c r="I2511" t="str">
        <f t="shared" si="301"/>
        <v>Toitoi</v>
      </c>
      <c r="J2511" t="str">
        <f t="shared" si="302"/>
        <v>Native</v>
      </c>
      <c r="K2511" t="str">
        <f t="shared" si="303"/>
        <v>No</v>
      </c>
      <c r="O2511">
        <v>598</v>
      </c>
      <c r="S2511">
        <v>2.5</v>
      </c>
      <c r="T2511">
        <f t="shared" si="307"/>
        <v>591.47</v>
      </c>
    </row>
    <row r="2512" spans="1:20" hidden="1" x14ac:dyDescent="0.55000000000000004">
      <c r="A2512">
        <v>2</v>
      </c>
      <c r="B2512" s="15" t="str">
        <f t="shared" si="305"/>
        <v>2_6</v>
      </c>
      <c r="C2512" s="20">
        <v>46233.53125</v>
      </c>
      <c r="D2512" t="s">
        <v>172</v>
      </c>
      <c r="E2512">
        <v>2</v>
      </c>
      <c r="F2512" t="s">
        <v>182</v>
      </c>
      <c r="G2512" t="str">
        <f t="shared" si="306"/>
        <v>Galaxias brevipinnis</v>
      </c>
      <c r="H2512" t="str">
        <f t="shared" si="300"/>
        <v>Climbing_galaxias</v>
      </c>
      <c r="I2512" t="str">
        <f t="shared" si="301"/>
        <v>Kōaro</v>
      </c>
      <c r="J2512" t="str">
        <f t="shared" si="302"/>
        <v>Native</v>
      </c>
      <c r="K2512" t="str">
        <f t="shared" si="303"/>
        <v>Yes</v>
      </c>
      <c r="L2512">
        <v>1</v>
      </c>
      <c r="N2512">
        <v>90</v>
      </c>
      <c r="O2512">
        <v>8</v>
      </c>
      <c r="T2512" t="str">
        <f t="shared" si="307"/>
        <v/>
      </c>
    </row>
    <row r="2513" spans="1:20" hidden="1" x14ac:dyDescent="0.55000000000000004">
      <c r="A2513">
        <v>2</v>
      </c>
      <c r="B2513" s="15" t="str">
        <f t="shared" si="305"/>
        <v>2_6</v>
      </c>
      <c r="C2513" s="20">
        <v>46233.53125</v>
      </c>
      <c r="D2513" t="s">
        <v>172</v>
      </c>
      <c r="E2513">
        <v>2</v>
      </c>
      <c r="F2513" t="s">
        <v>182</v>
      </c>
      <c r="G2513" t="str">
        <f t="shared" si="306"/>
        <v>Galaxias brevipinnis</v>
      </c>
      <c r="H2513" t="str">
        <f t="shared" ref="H2513:H2576" si="308">VLOOKUP($F2513, $W$1:$AB$10, 3, FALSE)</f>
        <v>Climbing_galaxias</v>
      </c>
      <c r="I2513" t="str">
        <f t="shared" ref="I2513:I2576" si="309">VLOOKUP($F2513, $W$1:$AB$10, 4, FALSE)</f>
        <v>Kōaro</v>
      </c>
      <c r="J2513" t="str">
        <f t="shared" ref="J2513:J2576" si="310">VLOOKUP($F2513, $W$1:$AC$10, 5, FALSE)</f>
        <v>Native</v>
      </c>
      <c r="K2513" t="str">
        <f t="shared" ref="K2513:K2576" si="311">VLOOKUP($F2513, $W$1:$AB$10, 6, FALSE)</f>
        <v>Yes</v>
      </c>
      <c r="L2513">
        <v>1</v>
      </c>
      <c r="N2513">
        <v>95</v>
      </c>
      <c r="O2513">
        <v>7</v>
      </c>
      <c r="T2513" t="str">
        <f t="shared" si="307"/>
        <v/>
      </c>
    </row>
    <row r="2514" spans="1:20" hidden="1" x14ac:dyDescent="0.55000000000000004">
      <c r="A2514">
        <v>2</v>
      </c>
      <c r="B2514" s="15" t="str">
        <f t="shared" si="305"/>
        <v>2_6</v>
      </c>
      <c r="C2514" s="20">
        <v>46233.53125</v>
      </c>
      <c r="D2514" t="s">
        <v>172</v>
      </c>
      <c r="E2514">
        <v>2</v>
      </c>
      <c r="F2514" t="s">
        <v>167</v>
      </c>
      <c r="G2514" t="str">
        <f t="shared" si="306"/>
        <v>Gobiomorphus cotidianus</v>
      </c>
      <c r="H2514" t="str">
        <f t="shared" si="308"/>
        <v>Common_bully</v>
      </c>
      <c r="I2514" t="str">
        <f t="shared" si="309"/>
        <v>Toitoi</v>
      </c>
      <c r="J2514" t="str">
        <f t="shared" si="310"/>
        <v>Native</v>
      </c>
      <c r="K2514" t="str">
        <f t="shared" si="311"/>
        <v>No</v>
      </c>
      <c r="O2514">
        <v>477</v>
      </c>
      <c r="S2514">
        <v>2.5</v>
      </c>
      <c r="T2514">
        <f t="shared" si="307"/>
        <v>591.47</v>
      </c>
    </row>
    <row r="2515" spans="1:20" hidden="1" x14ac:dyDescent="0.55000000000000004">
      <c r="A2515">
        <v>3</v>
      </c>
      <c r="B2515" s="15" t="str">
        <f t="shared" si="305"/>
        <v>3_6</v>
      </c>
      <c r="C2515" s="20">
        <v>46233.46875</v>
      </c>
      <c r="D2515" t="s">
        <v>166</v>
      </c>
      <c r="E2515">
        <v>2</v>
      </c>
      <c r="F2515" t="s">
        <v>167</v>
      </c>
      <c r="G2515" t="str">
        <f t="shared" si="306"/>
        <v>Gobiomorphus cotidianus</v>
      </c>
      <c r="H2515" t="str">
        <f t="shared" si="308"/>
        <v>Common_bully</v>
      </c>
      <c r="I2515" t="str">
        <f t="shared" si="309"/>
        <v>Toitoi</v>
      </c>
      <c r="J2515" t="str">
        <f t="shared" si="310"/>
        <v>Native</v>
      </c>
      <c r="K2515" t="str">
        <f t="shared" si="311"/>
        <v>No</v>
      </c>
      <c r="L2515">
        <v>3</v>
      </c>
      <c r="T2515" t="str">
        <f t="shared" si="307"/>
        <v/>
      </c>
    </row>
    <row r="2516" spans="1:20" hidden="1" x14ac:dyDescent="0.55000000000000004">
      <c r="A2516">
        <v>3</v>
      </c>
      <c r="B2516" s="15" t="str">
        <f t="shared" si="305"/>
        <v>3_6</v>
      </c>
      <c r="C2516" s="20">
        <v>46233.46875</v>
      </c>
      <c r="D2516" t="s">
        <v>172</v>
      </c>
      <c r="E2516">
        <v>2</v>
      </c>
      <c r="F2516" t="s">
        <v>181</v>
      </c>
      <c r="G2516" t="str">
        <f t="shared" si="306"/>
        <v>Retropinna retropinna</v>
      </c>
      <c r="H2516" t="str">
        <f t="shared" si="308"/>
        <v>Common_smelt</v>
      </c>
      <c r="I2516" t="str">
        <f t="shared" si="309"/>
        <v>Common_smelt</v>
      </c>
      <c r="J2516" t="str">
        <f t="shared" si="310"/>
        <v>Native</v>
      </c>
      <c r="K2516" t="str">
        <f t="shared" si="311"/>
        <v>No</v>
      </c>
      <c r="L2516">
        <v>7</v>
      </c>
      <c r="T2516" t="str">
        <f t="shared" si="307"/>
        <v/>
      </c>
    </row>
    <row r="2517" spans="1:20" hidden="1" x14ac:dyDescent="0.55000000000000004">
      <c r="A2517">
        <v>3</v>
      </c>
      <c r="B2517" s="15" t="str">
        <f t="shared" si="305"/>
        <v>3_6</v>
      </c>
      <c r="C2517" s="20">
        <v>46233.46875</v>
      </c>
      <c r="D2517" t="s">
        <v>172</v>
      </c>
      <c r="E2517">
        <v>2</v>
      </c>
      <c r="F2517" t="s">
        <v>182</v>
      </c>
      <c r="G2517" t="str">
        <f t="shared" si="306"/>
        <v>Galaxias brevipinnis</v>
      </c>
      <c r="H2517" t="str">
        <f t="shared" si="308"/>
        <v>Climbing_galaxias</v>
      </c>
      <c r="I2517" t="str">
        <f t="shared" si="309"/>
        <v>Kōaro</v>
      </c>
      <c r="J2517" t="str">
        <f t="shared" si="310"/>
        <v>Native</v>
      </c>
      <c r="K2517" t="str">
        <f t="shared" si="311"/>
        <v>Yes</v>
      </c>
      <c r="L2517">
        <v>1</v>
      </c>
      <c r="N2517">
        <v>50</v>
      </c>
      <c r="O2517">
        <v>1</v>
      </c>
      <c r="T2517" t="str">
        <f t="shared" si="307"/>
        <v/>
      </c>
    </row>
    <row r="2518" spans="1:20" hidden="1" x14ac:dyDescent="0.55000000000000004">
      <c r="A2518">
        <v>3</v>
      </c>
      <c r="B2518" s="15" t="str">
        <f t="shared" si="305"/>
        <v>3_6</v>
      </c>
      <c r="C2518" s="20">
        <v>46233.46875</v>
      </c>
      <c r="D2518" t="s">
        <v>172</v>
      </c>
      <c r="E2518">
        <v>2</v>
      </c>
      <c r="F2518" t="s">
        <v>167</v>
      </c>
      <c r="G2518" t="str">
        <f t="shared" si="306"/>
        <v>Gobiomorphus cotidianus</v>
      </c>
      <c r="H2518" t="str">
        <f t="shared" si="308"/>
        <v>Common_bully</v>
      </c>
      <c r="I2518" t="str">
        <f t="shared" si="309"/>
        <v>Toitoi</v>
      </c>
      <c r="J2518" t="str">
        <f t="shared" si="310"/>
        <v>Native</v>
      </c>
      <c r="K2518" t="str">
        <f t="shared" si="311"/>
        <v>No</v>
      </c>
      <c r="O2518">
        <v>616</v>
      </c>
      <c r="S2518">
        <v>2.5</v>
      </c>
      <c r="T2518">
        <f t="shared" si="307"/>
        <v>591.47</v>
      </c>
    </row>
    <row r="2519" spans="1:20" hidden="1" x14ac:dyDescent="0.55000000000000004">
      <c r="A2519">
        <v>3</v>
      </c>
      <c r="B2519" s="15" t="str">
        <f t="shared" si="305"/>
        <v>3_6</v>
      </c>
      <c r="C2519" s="20">
        <v>46233.46875</v>
      </c>
      <c r="D2519" t="s">
        <v>172</v>
      </c>
      <c r="E2519">
        <v>2</v>
      </c>
      <c r="F2519" t="s">
        <v>167</v>
      </c>
      <c r="G2519" t="str">
        <f t="shared" si="306"/>
        <v>Gobiomorphus cotidianus</v>
      </c>
      <c r="H2519" t="str">
        <f t="shared" si="308"/>
        <v>Common_bully</v>
      </c>
      <c r="I2519" t="str">
        <f t="shared" si="309"/>
        <v>Toitoi</v>
      </c>
      <c r="J2519" t="str">
        <f t="shared" si="310"/>
        <v>Native</v>
      </c>
      <c r="K2519" t="str">
        <f t="shared" si="311"/>
        <v>No</v>
      </c>
      <c r="O2519">
        <v>87</v>
      </c>
      <c r="S2519">
        <v>0.5</v>
      </c>
      <c r="T2519">
        <f t="shared" si="307"/>
        <v>118.294</v>
      </c>
    </row>
    <row r="2520" spans="1:20" hidden="1" x14ac:dyDescent="0.55000000000000004">
      <c r="A2520">
        <v>4</v>
      </c>
      <c r="B2520" s="15" t="str">
        <f t="shared" si="305"/>
        <v>4_6</v>
      </c>
      <c r="C2520" s="20">
        <v>46233.458333333336</v>
      </c>
      <c r="D2520" t="s">
        <v>166</v>
      </c>
      <c r="E2520">
        <v>2</v>
      </c>
      <c r="F2520" t="s">
        <v>167</v>
      </c>
      <c r="G2520" t="str">
        <f t="shared" si="306"/>
        <v>Gobiomorphus cotidianus</v>
      </c>
      <c r="H2520" t="str">
        <f t="shared" si="308"/>
        <v>Common_bully</v>
      </c>
      <c r="I2520" t="str">
        <f t="shared" si="309"/>
        <v>Toitoi</v>
      </c>
      <c r="J2520" t="str">
        <f t="shared" si="310"/>
        <v>Native</v>
      </c>
      <c r="K2520" t="str">
        <f t="shared" si="311"/>
        <v>No</v>
      </c>
      <c r="L2520">
        <v>8</v>
      </c>
      <c r="T2520" t="str">
        <f t="shared" si="307"/>
        <v/>
      </c>
    </row>
    <row r="2521" spans="1:20" hidden="1" x14ac:dyDescent="0.55000000000000004">
      <c r="A2521">
        <v>4</v>
      </c>
      <c r="B2521" s="15" t="str">
        <f t="shared" si="305"/>
        <v>4_6</v>
      </c>
      <c r="C2521" s="20">
        <v>46233.458333333336</v>
      </c>
      <c r="D2521" t="s">
        <v>172</v>
      </c>
      <c r="E2521">
        <v>2</v>
      </c>
      <c r="F2521" t="s">
        <v>181</v>
      </c>
      <c r="G2521" t="str">
        <f t="shared" si="306"/>
        <v>Retropinna retropinna</v>
      </c>
      <c r="H2521" t="str">
        <f t="shared" si="308"/>
        <v>Common_smelt</v>
      </c>
      <c r="I2521" t="str">
        <f t="shared" si="309"/>
        <v>Common_smelt</v>
      </c>
      <c r="J2521" t="str">
        <f t="shared" si="310"/>
        <v>Native</v>
      </c>
      <c r="K2521" t="str">
        <f t="shared" si="311"/>
        <v>No</v>
      </c>
      <c r="L2521">
        <v>2</v>
      </c>
      <c r="T2521" t="str">
        <f t="shared" si="307"/>
        <v/>
      </c>
    </row>
    <row r="2522" spans="1:20" hidden="1" x14ac:dyDescent="0.55000000000000004">
      <c r="A2522">
        <v>4</v>
      </c>
      <c r="B2522" s="15" t="str">
        <f t="shared" si="305"/>
        <v>4_6</v>
      </c>
      <c r="C2522" s="20">
        <v>46233.458333333336</v>
      </c>
      <c r="D2522" t="s">
        <v>172</v>
      </c>
      <c r="E2522">
        <v>2</v>
      </c>
      <c r="F2522" t="s">
        <v>173</v>
      </c>
      <c r="G2522" t="s">
        <v>195</v>
      </c>
      <c r="H2522" t="s">
        <v>196</v>
      </c>
      <c r="I2522" t="s">
        <v>197</v>
      </c>
      <c r="J2522" t="s">
        <v>97</v>
      </c>
      <c r="K2522" t="s">
        <v>171</v>
      </c>
      <c r="L2522">
        <v>1</v>
      </c>
      <c r="N2522">
        <v>1000</v>
      </c>
      <c r="T2522" t="str">
        <f t="shared" si="307"/>
        <v/>
      </c>
    </row>
    <row r="2523" spans="1:20" hidden="1" x14ac:dyDescent="0.55000000000000004">
      <c r="A2523">
        <v>4</v>
      </c>
      <c r="B2523" s="15" t="str">
        <f t="shared" si="305"/>
        <v>4_6</v>
      </c>
      <c r="C2523" s="20">
        <v>46233.458333333336</v>
      </c>
      <c r="D2523" t="s">
        <v>172</v>
      </c>
      <c r="E2523">
        <v>2</v>
      </c>
      <c r="F2523" t="s">
        <v>167</v>
      </c>
      <c r="G2523" t="str">
        <f t="shared" si="306"/>
        <v>Gobiomorphus cotidianus</v>
      </c>
      <c r="H2523" t="str">
        <f t="shared" si="308"/>
        <v>Common_bully</v>
      </c>
      <c r="I2523" t="str">
        <f t="shared" si="309"/>
        <v>Toitoi</v>
      </c>
      <c r="J2523" t="str">
        <f t="shared" si="310"/>
        <v>Native</v>
      </c>
      <c r="K2523" t="str">
        <f t="shared" si="311"/>
        <v>No</v>
      </c>
      <c r="O2523">
        <v>344</v>
      </c>
      <c r="S2523">
        <v>2</v>
      </c>
      <c r="T2523">
        <f t="shared" si="307"/>
        <v>473.17599999999999</v>
      </c>
    </row>
    <row r="2524" spans="1:20" hidden="1" x14ac:dyDescent="0.55000000000000004">
      <c r="A2524">
        <v>5</v>
      </c>
      <c r="B2524" s="15" t="str">
        <f t="shared" si="305"/>
        <v>5_6</v>
      </c>
      <c r="C2524" s="20">
        <v>46233.4375</v>
      </c>
      <c r="D2524" t="s">
        <v>166</v>
      </c>
      <c r="E2524">
        <v>2</v>
      </c>
      <c r="F2524" t="s">
        <v>167</v>
      </c>
      <c r="G2524" t="str">
        <f t="shared" si="306"/>
        <v>Gobiomorphus cotidianus</v>
      </c>
      <c r="H2524" t="str">
        <f t="shared" si="308"/>
        <v>Common_bully</v>
      </c>
      <c r="I2524" t="str">
        <f t="shared" si="309"/>
        <v>Toitoi</v>
      </c>
      <c r="J2524" t="str">
        <f t="shared" si="310"/>
        <v>Native</v>
      </c>
      <c r="K2524" t="str">
        <f t="shared" si="311"/>
        <v>No</v>
      </c>
      <c r="L2524">
        <v>13</v>
      </c>
      <c r="T2524" t="str">
        <f t="shared" si="307"/>
        <v/>
      </c>
    </row>
    <row r="2525" spans="1:20" hidden="1" x14ac:dyDescent="0.55000000000000004">
      <c r="A2525">
        <v>5</v>
      </c>
      <c r="B2525" s="15" t="str">
        <f t="shared" si="305"/>
        <v>5_6</v>
      </c>
      <c r="C2525" s="20">
        <v>46233.4375</v>
      </c>
      <c r="D2525" t="s">
        <v>172</v>
      </c>
      <c r="E2525">
        <v>2</v>
      </c>
      <c r="F2525" t="s">
        <v>182</v>
      </c>
      <c r="G2525" t="str">
        <f t="shared" si="306"/>
        <v>Galaxias brevipinnis</v>
      </c>
      <c r="H2525" t="str">
        <f t="shared" si="308"/>
        <v>Climbing_galaxias</v>
      </c>
      <c r="I2525" t="str">
        <f t="shared" si="309"/>
        <v>Kōaro</v>
      </c>
      <c r="J2525" t="str">
        <f t="shared" si="310"/>
        <v>Native</v>
      </c>
      <c r="K2525" t="str">
        <f t="shared" si="311"/>
        <v>Yes</v>
      </c>
      <c r="L2525">
        <v>1</v>
      </c>
      <c r="O2525">
        <v>19</v>
      </c>
      <c r="T2525" t="str">
        <f t="shared" si="307"/>
        <v/>
      </c>
    </row>
    <row r="2526" spans="1:20" hidden="1" x14ac:dyDescent="0.55000000000000004">
      <c r="A2526">
        <v>5</v>
      </c>
      <c r="B2526" s="15" t="str">
        <f t="shared" si="305"/>
        <v>5_6</v>
      </c>
      <c r="C2526" s="20">
        <v>46233.4375</v>
      </c>
      <c r="D2526" t="s">
        <v>172</v>
      </c>
      <c r="E2526">
        <v>2</v>
      </c>
      <c r="F2526" t="s">
        <v>181</v>
      </c>
      <c r="G2526" t="str">
        <f t="shared" si="306"/>
        <v>Retropinna retropinna</v>
      </c>
      <c r="H2526" t="str">
        <f t="shared" si="308"/>
        <v>Common_smelt</v>
      </c>
      <c r="I2526" t="str">
        <f t="shared" si="309"/>
        <v>Common_smelt</v>
      </c>
      <c r="J2526" t="str">
        <f t="shared" si="310"/>
        <v>Native</v>
      </c>
      <c r="K2526" t="str">
        <f t="shared" si="311"/>
        <v>No</v>
      </c>
      <c r="L2526">
        <v>2</v>
      </c>
      <c r="T2526" t="str">
        <f t="shared" si="307"/>
        <v/>
      </c>
    </row>
    <row r="2527" spans="1:20" hidden="1" x14ac:dyDescent="0.55000000000000004">
      <c r="A2527">
        <v>5</v>
      </c>
      <c r="B2527" s="15" t="str">
        <f t="shared" si="305"/>
        <v>5_6</v>
      </c>
      <c r="C2527" s="20">
        <v>46233.4375</v>
      </c>
      <c r="D2527" t="s">
        <v>172</v>
      </c>
      <c r="E2527">
        <v>2</v>
      </c>
      <c r="F2527" t="s">
        <v>178</v>
      </c>
      <c r="G2527" t="str">
        <f t="shared" si="306"/>
        <v>Carassius auratus</v>
      </c>
      <c r="H2527" t="str">
        <f t="shared" si="308"/>
        <v>Goldfish</v>
      </c>
      <c r="I2527" t="str">
        <f t="shared" si="309"/>
        <v>Morihana</v>
      </c>
      <c r="J2527" t="str">
        <f t="shared" si="310"/>
        <v>Nonnative</v>
      </c>
      <c r="K2527" t="str">
        <f t="shared" si="311"/>
        <v>No</v>
      </c>
      <c r="L2527">
        <v>1</v>
      </c>
      <c r="N2527">
        <v>60</v>
      </c>
      <c r="O2527">
        <v>4</v>
      </c>
      <c r="T2527" t="str">
        <f t="shared" si="307"/>
        <v/>
      </c>
    </row>
    <row r="2528" spans="1:20" hidden="1" x14ac:dyDescent="0.55000000000000004">
      <c r="A2528">
        <v>5</v>
      </c>
      <c r="B2528" s="15" t="str">
        <f t="shared" si="305"/>
        <v>5_6</v>
      </c>
      <c r="C2528" s="20">
        <v>46233.4375</v>
      </c>
      <c r="D2528" t="s">
        <v>172</v>
      </c>
      <c r="E2528">
        <v>2</v>
      </c>
      <c r="F2528" t="s">
        <v>167</v>
      </c>
      <c r="G2528" t="str">
        <f t="shared" si="306"/>
        <v>Gobiomorphus cotidianus</v>
      </c>
      <c r="H2528" t="str">
        <f t="shared" si="308"/>
        <v>Common_bully</v>
      </c>
      <c r="I2528" t="str">
        <f t="shared" si="309"/>
        <v>Toitoi</v>
      </c>
      <c r="J2528" t="str">
        <f t="shared" si="310"/>
        <v>Native</v>
      </c>
      <c r="K2528" t="str">
        <f t="shared" si="311"/>
        <v>No</v>
      </c>
      <c r="O2528">
        <v>373</v>
      </c>
      <c r="S2528">
        <v>2</v>
      </c>
      <c r="T2528">
        <f t="shared" si="307"/>
        <v>473.17599999999999</v>
      </c>
    </row>
    <row r="2529" spans="1:20" hidden="1" x14ac:dyDescent="0.55000000000000004">
      <c r="A2529">
        <v>6</v>
      </c>
      <c r="B2529" s="15" t="str">
        <f t="shared" si="305"/>
        <v>6_6</v>
      </c>
      <c r="C2529" s="20">
        <v>46233.430555555555</v>
      </c>
      <c r="D2529" t="s">
        <v>166</v>
      </c>
      <c r="E2529">
        <v>2</v>
      </c>
      <c r="F2529" t="s">
        <v>167</v>
      </c>
      <c r="G2529" t="str">
        <f t="shared" si="306"/>
        <v>Gobiomorphus cotidianus</v>
      </c>
      <c r="H2529" t="str">
        <f t="shared" si="308"/>
        <v>Common_bully</v>
      </c>
      <c r="I2529" t="str">
        <f t="shared" si="309"/>
        <v>Toitoi</v>
      </c>
      <c r="J2529" t="str">
        <f t="shared" si="310"/>
        <v>Native</v>
      </c>
      <c r="K2529" t="str">
        <f t="shared" si="311"/>
        <v>No</v>
      </c>
      <c r="L2529">
        <v>4</v>
      </c>
      <c r="T2529" t="str">
        <f t="shared" si="307"/>
        <v/>
      </c>
    </row>
    <row r="2530" spans="1:20" hidden="1" x14ac:dyDescent="0.55000000000000004">
      <c r="A2530">
        <v>6</v>
      </c>
      <c r="B2530" s="15" t="str">
        <f t="shared" si="305"/>
        <v>6_6</v>
      </c>
      <c r="C2530" s="20">
        <v>46233.430555555555</v>
      </c>
      <c r="D2530" t="s">
        <v>172</v>
      </c>
      <c r="E2530">
        <v>2</v>
      </c>
      <c r="F2530" t="s">
        <v>192</v>
      </c>
      <c r="G2530" t="str">
        <f t="shared" si="306"/>
        <v>Gambusia affinis</v>
      </c>
      <c r="H2530" t="str">
        <f t="shared" si="308"/>
        <v>Gambusia</v>
      </c>
      <c r="I2530" t="str">
        <f t="shared" si="309"/>
        <v>Mosquitofish</v>
      </c>
      <c r="J2530" t="str">
        <f t="shared" si="310"/>
        <v>Nonnative</v>
      </c>
      <c r="K2530" t="str">
        <f t="shared" si="311"/>
        <v>No</v>
      </c>
      <c r="L2530">
        <v>2</v>
      </c>
      <c r="T2530" t="str">
        <f t="shared" si="307"/>
        <v/>
      </c>
    </row>
    <row r="2531" spans="1:20" hidden="1" x14ac:dyDescent="0.55000000000000004">
      <c r="A2531">
        <v>6</v>
      </c>
      <c r="B2531" s="15" t="str">
        <f t="shared" si="305"/>
        <v>6_6</v>
      </c>
      <c r="C2531" s="20">
        <v>46233.430555555555</v>
      </c>
      <c r="D2531" t="s">
        <v>172</v>
      </c>
      <c r="E2531">
        <v>2</v>
      </c>
      <c r="F2531" t="s">
        <v>167</v>
      </c>
      <c r="G2531" t="str">
        <f t="shared" si="306"/>
        <v>Gobiomorphus cotidianus</v>
      </c>
      <c r="H2531" t="str">
        <f t="shared" si="308"/>
        <v>Common_bully</v>
      </c>
      <c r="I2531" t="str">
        <f t="shared" si="309"/>
        <v>Toitoi</v>
      </c>
      <c r="J2531" t="str">
        <f t="shared" si="310"/>
        <v>Native</v>
      </c>
      <c r="K2531" t="str">
        <f t="shared" si="311"/>
        <v>No</v>
      </c>
      <c r="L2531">
        <v>3</v>
      </c>
      <c r="T2531" t="str">
        <f t="shared" si="307"/>
        <v/>
      </c>
    </row>
    <row r="2532" spans="1:20" x14ac:dyDescent="0.55000000000000004">
      <c r="A2532">
        <v>7</v>
      </c>
      <c r="B2532" s="15" t="str">
        <f t="shared" si="305"/>
        <v>7_6</v>
      </c>
      <c r="C2532" s="20">
        <v>46233.496527777781</v>
      </c>
      <c r="D2532" t="s">
        <v>166</v>
      </c>
      <c r="E2532">
        <v>2</v>
      </c>
      <c r="F2532" t="s">
        <v>168</v>
      </c>
      <c r="G2532" t="str">
        <f t="shared" si="306"/>
        <v>Paranephrops planifrons</v>
      </c>
      <c r="H2532" t="str">
        <f t="shared" si="308"/>
        <v>Freshwater_crayfish</v>
      </c>
      <c r="I2532" t="str">
        <f t="shared" si="309"/>
        <v>Kōura</v>
      </c>
      <c r="J2532" t="str">
        <f t="shared" si="310"/>
        <v>Native</v>
      </c>
      <c r="K2532" t="str">
        <f t="shared" si="311"/>
        <v>Yes</v>
      </c>
      <c r="L2532">
        <v>1</v>
      </c>
      <c r="M2532" t="s">
        <v>199</v>
      </c>
      <c r="N2532">
        <v>37</v>
      </c>
      <c r="O2532">
        <v>36</v>
      </c>
      <c r="P2532">
        <v>1</v>
      </c>
      <c r="T2532" t="str">
        <f t="shared" si="307"/>
        <v/>
      </c>
    </row>
    <row r="2533" spans="1:20" hidden="1" x14ac:dyDescent="0.55000000000000004">
      <c r="A2533">
        <v>7</v>
      </c>
      <c r="B2533" s="15" t="str">
        <f t="shared" si="305"/>
        <v>7_6</v>
      </c>
      <c r="C2533" s="20">
        <v>46233.496527777781</v>
      </c>
      <c r="D2533" t="s">
        <v>166</v>
      </c>
      <c r="E2533">
        <v>2</v>
      </c>
      <c r="F2533" t="s">
        <v>167</v>
      </c>
      <c r="G2533" t="str">
        <f t="shared" si="306"/>
        <v>Gobiomorphus cotidianus</v>
      </c>
      <c r="H2533" t="str">
        <f t="shared" si="308"/>
        <v>Common_bully</v>
      </c>
      <c r="I2533" t="str">
        <f t="shared" si="309"/>
        <v>Toitoi</v>
      </c>
      <c r="J2533" t="str">
        <f t="shared" si="310"/>
        <v>Native</v>
      </c>
      <c r="K2533" t="str">
        <f t="shared" si="311"/>
        <v>No</v>
      </c>
      <c r="L2533">
        <v>2</v>
      </c>
      <c r="T2533" t="str">
        <f t="shared" si="307"/>
        <v/>
      </c>
    </row>
    <row r="2534" spans="1:20" hidden="1" x14ac:dyDescent="0.55000000000000004">
      <c r="A2534">
        <v>7</v>
      </c>
      <c r="B2534" s="15" t="str">
        <f t="shared" si="305"/>
        <v>7_6</v>
      </c>
      <c r="C2534" s="20">
        <v>46233.496527777781</v>
      </c>
      <c r="D2534" t="s">
        <v>172</v>
      </c>
      <c r="E2534">
        <v>2</v>
      </c>
      <c r="F2534" t="s">
        <v>181</v>
      </c>
      <c r="G2534" t="str">
        <f t="shared" si="306"/>
        <v>Retropinna retropinna</v>
      </c>
      <c r="H2534" t="str">
        <f t="shared" si="308"/>
        <v>Common_smelt</v>
      </c>
      <c r="I2534" t="str">
        <f t="shared" si="309"/>
        <v>Common_smelt</v>
      </c>
      <c r="J2534" t="str">
        <f t="shared" si="310"/>
        <v>Native</v>
      </c>
      <c r="K2534" t="str">
        <f t="shared" si="311"/>
        <v>No</v>
      </c>
      <c r="L2534">
        <v>10</v>
      </c>
      <c r="O2534">
        <v>9</v>
      </c>
      <c r="T2534" t="str">
        <f t="shared" si="307"/>
        <v/>
      </c>
    </row>
    <row r="2535" spans="1:20" hidden="1" x14ac:dyDescent="0.55000000000000004">
      <c r="A2535">
        <v>7</v>
      </c>
      <c r="B2535" s="15" t="str">
        <f t="shared" si="305"/>
        <v>7_6</v>
      </c>
      <c r="C2535" s="20">
        <v>46233.496527777781</v>
      </c>
      <c r="D2535" t="s">
        <v>172</v>
      </c>
      <c r="E2535">
        <v>2</v>
      </c>
      <c r="F2535" t="s">
        <v>182</v>
      </c>
      <c r="G2535" t="str">
        <f t="shared" si="306"/>
        <v>Galaxias brevipinnis</v>
      </c>
      <c r="H2535" t="str">
        <f t="shared" si="308"/>
        <v>Climbing_galaxias</v>
      </c>
      <c r="I2535" t="str">
        <f t="shared" si="309"/>
        <v>Kōaro</v>
      </c>
      <c r="J2535" t="str">
        <f t="shared" si="310"/>
        <v>Native</v>
      </c>
      <c r="K2535" t="str">
        <f t="shared" si="311"/>
        <v>Yes</v>
      </c>
      <c r="L2535">
        <v>1</v>
      </c>
      <c r="N2535">
        <v>125</v>
      </c>
      <c r="O2535">
        <v>22</v>
      </c>
      <c r="T2535" t="str">
        <f t="shared" si="307"/>
        <v/>
      </c>
    </row>
    <row r="2536" spans="1:20" hidden="1" x14ac:dyDescent="0.55000000000000004">
      <c r="A2536">
        <v>7</v>
      </c>
      <c r="B2536" s="15" t="str">
        <f t="shared" si="305"/>
        <v>7_6</v>
      </c>
      <c r="C2536" s="20">
        <v>46233.496527777781</v>
      </c>
      <c r="D2536" t="s">
        <v>172</v>
      </c>
      <c r="E2536">
        <v>2</v>
      </c>
      <c r="F2536" t="s">
        <v>182</v>
      </c>
      <c r="G2536" t="str">
        <f t="shared" si="306"/>
        <v>Galaxias brevipinnis</v>
      </c>
      <c r="H2536" t="str">
        <f t="shared" si="308"/>
        <v>Climbing_galaxias</v>
      </c>
      <c r="I2536" t="str">
        <f t="shared" si="309"/>
        <v>Kōaro</v>
      </c>
      <c r="J2536" t="str">
        <f t="shared" si="310"/>
        <v>Native</v>
      </c>
      <c r="K2536" t="str">
        <f t="shared" si="311"/>
        <v>Yes</v>
      </c>
      <c r="L2536">
        <v>1</v>
      </c>
      <c r="N2536">
        <v>95</v>
      </c>
      <c r="O2536">
        <v>8</v>
      </c>
      <c r="T2536" t="str">
        <f t="shared" si="307"/>
        <v/>
      </c>
    </row>
    <row r="2537" spans="1:20" hidden="1" x14ac:dyDescent="0.55000000000000004">
      <c r="A2537">
        <v>7</v>
      </c>
      <c r="B2537" s="15" t="str">
        <f t="shared" si="305"/>
        <v>7_6</v>
      </c>
      <c r="C2537" s="20">
        <v>46233.496527777781</v>
      </c>
      <c r="D2537" t="s">
        <v>172</v>
      </c>
      <c r="E2537">
        <v>2</v>
      </c>
      <c r="F2537" t="s">
        <v>182</v>
      </c>
      <c r="G2537" t="str">
        <f t="shared" si="306"/>
        <v>Galaxias brevipinnis</v>
      </c>
      <c r="H2537" t="str">
        <f t="shared" si="308"/>
        <v>Climbing_galaxias</v>
      </c>
      <c r="I2537" t="str">
        <f t="shared" si="309"/>
        <v>Kōaro</v>
      </c>
      <c r="J2537" t="str">
        <f t="shared" si="310"/>
        <v>Native</v>
      </c>
      <c r="K2537" t="str">
        <f t="shared" si="311"/>
        <v>Yes</v>
      </c>
      <c r="L2537">
        <v>1</v>
      </c>
      <c r="N2537">
        <v>115</v>
      </c>
      <c r="O2537">
        <v>17</v>
      </c>
      <c r="T2537" t="str">
        <f t="shared" si="307"/>
        <v/>
      </c>
    </row>
    <row r="2538" spans="1:20" hidden="1" x14ac:dyDescent="0.55000000000000004">
      <c r="A2538">
        <v>7</v>
      </c>
      <c r="B2538" s="15" t="str">
        <f t="shared" si="305"/>
        <v>7_6</v>
      </c>
      <c r="C2538" s="20">
        <v>46233.496527777781</v>
      </c>
      <c r="D2538" t="s">
        <v>172</v>
      </c>
      <c r="E2538">
        <v>2</v>
      </c>
      <c r="F2538" t="s">
        <v>182</v>
      </c>
      <c r="G2538" t="str">
        <f t="shared" si="306"/>
        <v>Galaxias brevipinnis</v>
      </c>
      <c r="H2538" t="str">
        <f t="shared" si="308"/>
        <v>Climbing_galaxias</v>
      </c>
      <c r="I2538" t="str">
        <f t="shared" si="309"/>
        <v>Kōaro</v>
      </c>
      <c r="J2538" t="str">
        <f t="shared" si="310"/>
        <v>Native</v>
      </c>
      <c r="K2538" t="str">
        <f t="shared" si="311"/>
        <v>Yes</v>
      </c>
      <c r="L2538">
        <v>1</v>
      </c>
      <c r="N2538">
        <v>60</v>
      </c>
      <c r="O2538">
        <v>1</v>
      </c>
      <c r="T2538" t="str">
        <f t="shared" si="307"/>
        <v/>
      </c>
    </row>
    <row r="2539" spans="1:20" hidden="1" x14ac:dyDescent="0.55000000000000004">
      <c r="A2539">
        <v>7</v>
      </c>
      <c r="B2539" s="15" t="str">
        <f t="shared" si="305"/>
        <v>7_6</v>
      </c>
      <c r="C2539" s="20">
        <v>46233.496527777781</v>
      </c>
      <c r="D2539" t="s">
        <v>172</v>
      </c>
      <c r="E2539">
        <v>2</v>
      </c>
      <c r="F2539" t="s">
        <v>182</v>
      </c>
      <c r="G2539" t="str">
        <f t="shared" si="306"/>
        <v>Galaxias brevipinnis</v>
      </c>
      <c r="H2539" t="str">
        <f t="shared" si="308"/>
        <v>Climbing_galaxias</v>
      </c>
      <c r="I2539" t="str">
        <f t="shared" si="309"/>
        <v>Kōaro</v>
      </c>
      <c r="J2539" t="str">
        <f t="shared" si="310"/>
        <v>Native</v>
      </c>
      <c r="K2539" t="str">
        <f t="shared" si="311"/>
        <v>Yes</v>
      </c>
      <c r="L2539">
        <v>1</v>
      </c>
      <c r="N2539">
        <v>55</v>
      </c>
      <c r="O2539">
        <v>1</v>
      </c>
      <c r="T2539" t="str">
        <f t="shared" si="307"/>
        <v/>
      </c>
    </row>
    <row r="2540" spans="1:20" hidden="1" x14ac:dyDescent="0.55000000000000004">
      <c r="A2540">
        <v>7</v>
      </c>
      <c r="B2540" s="15" t="str">
        <f t="shared" si="305"/>
        <v>7_6</v>
      </c>
      <c r="C2540" s="20">
        <v>46233.496527777781</v>
      </c>
      <c r="D2540" t="s">
        <v>172</v>
      </c>
      <c r="E2540">
        <v>2</v>
      </c>
      <c r="F2540" t="s">
        <v>182</v>
      </c>
      <c r="G2540" t="str">
        <f t="shared" si="306"/>
        <v>Galaxias brevipinnis</v>
      </c>
      <c r="H2540" t="str">
        <f t="shared" si="308"/>
        <v>Climbing_galaxias</v>
      </c>
      <c r="I2540" t="str">
        <f t="shared" si="309"/>
        <v>Kōaro</v>
      </c>
      <c r="J2540" t="str">
        <f t="shared" si="310"/>
        <v>Native</v>
      </c>
      <c r="K2540" t="str">
        <f t="shared" si="311"/>
        <v>Yes</v>
      </c>
      <c r="L2540">
        <v>1</v>
      </c>
      <c r="N2540">
        <v>60</v>
      </c>
      <c r="O2540">
        <v>1</v>
      </c>
      <c r="T2540" t="str">
        <f t="shared" si="307"/>
        <v/>
      </c>
    </row>
    <row r="2541" spans="1:20" hidden="1" x14ac:dyDescent="0.55000000000000004">
      <c r="A2541">
        <v>7</v>
      </c>
      <c r="B2541" s="15" t="str">
        <f t="shared" si="305"/>
        <v>7_6</v>
      </c>
      <c r="C2541" s="20">
        <v>46233.496527777781</v>
      </c>
      <c r="D2541" t="s">
        <v>172</v>
      </c>
      <c r="E2541">
        <v>2</v>
      </c>
      <c r="F2541" t="s">
        <v>167</v>
      </c>
      <c r="G2541" t="str">
        <f t="shared" si="306"/>
        <v>Gobiomorphus cotidianus</v>
      </c>
      <c r="H2541" t="str">
        <f t="shared" si="308"/>
        <v>Common_bully</v>
      </c>
      <c r="I2541" t="str">
        <f t="shared" si="309"/>
        <v>Toitoi</v>
      </c>
      <c r="J2541" t="str">
        <f t="shared" si="310"/>
        <v>Native</v>
      </c>
      <c r="K2541" t="str">
        <f t="shared" si="311"/>
        <v>No</v>
      </c>
      <c r="O2541">
        <v>409</v>
      </c>
      <c r="S2541">
        <v>2</v>
      </c>
      <c r="T2541">
        <f t="shared" si="307"/>
        <v>473.17599999999999</v>
      </c>
    </row>
    <row r="2542" spans="1:20" hidden="1" x14ac:dyDescent="0.55000000000000004">
      <c r="A2542">
        <v>8</v>
      </c>
      <c r="B2542" s="15" t="str">
        <f t="shared" si="305"/>
        <v>8_6</v>
      </c>
      <c r="C2542" s="20">
        <v>46233.506249999999</v>
      </c>
      <c r="D2542" t="s">
        <v>166</v>
      </c>
      <c r="E2542">
        <v>2</v>
      </c>
      <c r="F2542" t="s">
        <v>167</v>
      </c>
      <c r="G2542" t="str">
        <f t="shared" si="306"/>
        <v>Gobiomorphus cotidianus</v>
      </c>
      <c r="H2542" t="str">
        <f t="shared" si="308"/>
        <v>Common_bully</v>
      </c>
      <c r="I2542" t="str">
        <f t="shared" si="309"/>
        <v>Toitoi</v>
      </c>
      <c r="J2542" t="str">
        <f t="shared" si="310"/>
        <v>Native</v>
      </c>
      <c r="K2542" t="str">
        <f t="shared" si="311"/>
        <v>No</v>
      </c>
      <c r="L2542">
        <v>5</v>
      </c>
      <c r="O2542">
        <v>17</v>
      </c>
      <c r="T2542" t="str">
        <f t="shared" si="307"/>
        <v/>
      </c>
    </row>
    <row r="2543" spans="1:20" hidden="1" x14ac:dyDescent="0.55000000000000004">
      <c r="A2543">
        <v>8</v>
      </c>
      <c r="B2543" s="15" t="str">
        <f t="shared" si="305"/>
        <v>8_6</v>
      </c>
      <c r="C2543" s="20">
        <v>46233.506249999999</v>
      </c>
      <c r="D2543" t="s">
        <v>172</v>
      </c>
      <c r="E2543">
        <v>2</v>
      </c>
      <c r="F2543" t="s">
        <v>182</v>
      </c>
      <c r="G2543" t="str">
        <f t="shared" si="306"/>
        <v>Galaxias brevipinnis</v>
      </c>
      <c r="H2543" t="str">
        <f t="shared" si="308"/>
        <v>Climbing_galaxias</v>
      </c>
      <c r="I2543" t="str">
        <f t="shared" si="309"/>
        <v>Kōaro</v>
      </c>
      <c r="J2543" t="str">
        <f t="shared" si="310"/>
        <v>Native</v>
      </c>
      <c r="K2543" t="str">
        <f t="shared" si="311"/>
        <v>Yes</v>
      </c>
      <c r="L2543">
        <v>1</v>
      </c>
      <c r="N2543">
        <v>120</v>
      </c>
      <c r="O2543">
        <v>17</v>
      </c>
      <c r="T2543" t="str">
        <f t="shared" si="307"/>
        <v/>
      </c>
    </row>
    <row r="2544" spans="1:20" hidden="1" x14ac:dyDescent="0.55000000000000004">
      <c r="A2544">
        <v>8</v>
      </c>
      <c r="B2544" s="15" t="str">
        <f t="shared" si="305"/>
        <v>8_6</v>
      </c>
      <c r="C2544" s="20">
        <v>46233.506249999999</v>
      </c>
      <c r="D2544" t="s">
        <v>172</v>
      </c>
      <c r="E2544">
        <v>2</v>
      </c>
      <c r="F2544" t="s">
        <v>182</v>
      </c>
      <c r="G2544" t="str">
        <f t="shared" si="306"/>
        <v>Galaxias brevipinnis</v>
      </c>
      <c r="H2544" t="str">
        <f t="shared" si="308"/>
        <v>Climbing_galaxias</v>
      </c>
      <c r="I2544" t="str">
        <f t="shared" si="309"/>
        <v>Kōaro</v>
      </c>
      <c r="J2544" t="str">
        <f t="shared" si="310"/>
        <v>Native</v>
      </c>
      <c r="K2544" t="str">
        <f t="shared" si="311"/>
        <v>Yes</v>
      </c>
      <c r="L2544">
        <v>1</v>
      </c>
      <c r="N2544">
        <v>55</v>
      </c>
      <c r="O2544">
        <v>2</v>
      </c>
      <c r="T2544" t="str">
        <f t="shared" si="307"/>
        <v/>
      </c>
    </row>
    <row r="2545" spans="1:20" hidden="1" x14ac:dyDescent="0.55000000000000004">
      <c r="A2545">
        <v>8</v>
      </c>
      <c r="B2545" s="15" t="str">
        <f t="shared" ref="B2545:B2608" si="312">A2545 &amp; "_6"</f>
        <v>8_6</v>
      </c>
      <c r="C2545" s="20">
        <v>46233.506249999999</v>
      </c>
      <c r="D2545" t="s">
        <v>172</v>
      </c>
      <c r="E2545">
        <v>2</v>
      </c>
      <c r="F2545" t="s">
        <v>181</v>
      </c>
      <c r="G2545" t="str">
        <f t="shared" si="306"/>
        <v>Retropinna retropinna</v>
      </c>
      <c r="H2545" t="str">
        <f t="shared" si="308"/>
        <v>Common_smelt</v>
      </c>
      <c r="I2545" t="str">
        <f t="shared" si="309"/>
        <v>Common_smelt</v>
      </c>
      <c r="J2545" t="str">
        <f t="shared" si="310"/>
        <v>Native</v>
      </c>
      <c r="K2545" t="str">
        <f t="shared" si="311"/>
        <v>No</v>
      </c>
      <c r="L2545">
        <v>5</v>
      </c>
      <c r="T2545" t="str">
        <f t="shared" si="307"/>
        <v/>
      </c>
    </row>
    <row r="2546" spans="1:20" hidden="1" x14ac:dyDescent="0.55000000000000004">
      <c r="A2546">
        <v>8</v>
      </c>
      <c r="B2546" s="15" t="str">
        <f t="shared" si="312"/>
        <v>8_6</v>
      </c>
      <c r="C2546" s="20">
        <v>46233.506249999999</v>
      </c>
      <c r="D2546" t="s">
        <v>172</v>
      </c>
      <c r="E2546">
        <v>2</v>
      </c>
      <c r="F2546" t="s">
        <v>167</v>
      </c>
      <c r="G2546" t="str">
        <f t="shared" si="306"/>
        <v>Gobiomorphus cotidianus</v>
      </c>
      <c r="H2546" t="str">
        <f t="shared" si="308"/>
        <v>Common_bully</v>
      </c>
      <c r="I2546" t="str">
        <f t="shared" si="309"/>
        <v>Toitoi</v>
      </c>
      <c r="J2546" t="str">
        <f t="shared" si="310"/>
        <v>Native</v>
      </c>
      <c r="K2546" t="str">
        <f t="shared" si="311"/>
        <v>No</v>
      </c>
      <c r="O2546">
        <v>618</v>
      </c>
      <c r="S2546">
        <v>2.5</v>
      </c>
      <c r="T2546">
        <f t="shared" si="307"/>
        <v>591.47</v>
      </c>
    </row>
    <row r="2547" spans="1:20" hidden="1" x14ac:dyDescent="0.55000000000000004">
      <c r="A2547">
        <v>8</v>
      </c>
      <c r="B2547" s="15" t="str">
        <f t="shared" si="312"/>
        <v>8_6</v>
      </c>
      <c r="C2547" s="20">
        <v>46233.506249999999</v>
      </c>
      <c r="D2547" t="s">
        <v>172</v>
      </c>
      <c r="E2547">
        <v>2</v>
      </c>
      <c r="F2547" t="s">
        <v>167</v>
      </c>
      <c r="G2547" t="str">
        <f t="shared" si="306"/>
        <v>Gobiomorphus cotidianus</v>
      </c>
      <c r="H2547" t="str">
        <f t="shared" si="308"/>
        <v>Common_bully</v>
      </c>
      <c r="I2547" t="str">
        <f t="shared" si="309"/>
        <v>Toitoi</v>
      </c>
      <c r="J2547" t="str">
        <f t="shared" si="310"/>
        <v>Native</v>
      </c>
      <c r="K2547" t="str">
        <f t="shared" si="311"/>
        <v>No</v>
      </c>
      <c r="O2547">
        <v>96</v>
      </c>
      <c r="S2547">
        <v>0.5</v>
      </c>
      <c r="T2547">
        <f t="shared" si="307"/>
        <v>118.294</v>
      </c>
    </row>
    <row r="2548" spans="1:20" hidden="1" x14ac:dyDescent="0.55000000000000004">
      <c r="A2548">
        <v>9</v>
      </c>
      <c r="B2548" s="15" t="str">
        <f t="shared" si="312"/>
        <v>9_6</v>
      </c>
      <c r="C2548" s="20">
        <v>46233.375</v>
      </c>
      <c r="D2548" t="s">
        <v>166</v>
      </c>
      <c r="E2548">
        <v>2</v>
      </c>
      <c r="F2548" t="s">
        <v>167</v>
      </c>
      <c r="G2548" t="str">
        <f t="shared" si="306"/>
        <v>Gobiomorphus cotidianus</v>
      </c>
      <c r="H2548" t="str">
        <f t="shared" si="308"/>
        <v>Common_bully</v>
      </c>
      <c r="I2548" t="str">
        <f t="shared" si="309"/>
        <v>Toitoi</v>
      </c>
      <c r="J2548" t="str">
        <f t="shared" si="310"/>
        <v>Native</v>
      </c>
      <c r="K2548" t="str">
        <f t="shared" si="311"/>
        <v>No</v>
      </c>
      <c r="L2548">
        <v>1</v>
      </c>
      <c r="O2548">
        <v>2</v>
      </c>
      <c r="T2548" t="str">
        <f t="shared" si="307"/>
        <v/>
      </c>
    </row>
    <row r="2549" spans="1:20" x14ac:dyDescent="0.55000000000000004">
      <c r="A2549">
        <v>9</v>
      </c>
      <c r="B2549" s="15" t="str">
        <f t="shared" si="312"/>
        <v>9_6</v>
      </c>
      <c r="C2549" s="20">
        <v>46233.375</v>
      </c>
      <c r="D2549" t="s">
        <v>166</v>
      </c>
      <c r="E2549">
        <v>2</v>
      </c>
      <c r="F2549" t="s">
        <v>168</v>
      </c>
      <c r="G2549" t="str">
        <f t="shared" si="306"/>
        <v>Paranephrops planifrons</v>
      </c>
      <c r="H2549" t="str">
        <f t="shared" si="308"/>
        <v>Freshwater_crayfish</v>
      </c>
      <c r="I2549" t="str">
        <f t="shared" si="309"/>
        <v>Kōura</v>
      </c>
      <c r="J2549" t="str">
        <f t="shared" si="310"/>
        <v>Native</v>
      </c>
      <c r="K2549" t="str">
        <f t="shared" si="311"/>
        <v>Yes</v>
      </c>
      <c r="L2549">
        <v>1</v>
      </c>
      <c r="M2549" t="s">
        <v>198</v>
      </c>
      <c r="N2549">
        <v>27</v>
      </c>
      <c r="O2549">
        <v>14</v>
      </c>
      <c r="T2549" t="str">
        <f t="shared" si="307"/>
        <v/>
      </c>
    </row>
    <row r="2550" spans="1:20" hidden="1" x14ac:dyDescent="0.55000000000000004">
      <c r="A2550">
        <v>9</v>
      </c>
      <c r="B2550" s="15" t="str">
        <f t="shared" si="312"/>
        <v>9_6</v>
      </c>
      <c r="C2550" s="20">
        <v>46233.375</v>
      </c>
      <c r="D2550" t="s">
        <v>172</v>
      </c>
      <c r="E2550">
        <v>2</v>
      </c>
      <c r="F2550" t="s">
        <v>178</v>
      </c>
      <c r="G2550" t="str">
        <f t="shared" ref="G2550:G2613" si="313">VLOOKUP($F2550, $W$1:$AB$10, 2, FALSE)</f>
        <v>Carassius auratus</v>
      </c>
      <c r="H2550" t="str">
        <f t="shared" si="308"/>
        <v>Goldfish</v>
      </c>
      <c r="I2550" t="str">
        <f t="shared" si="309"/>
        <v>Morihana</v>
      </c>
      <c r="J2550" t="str">
        <f t="shared" si="310"/>
        <v>Nonnative</v>
      </c>
      <c r="K2550" t="str">
        <f t="shared" si="311"/>
        <v>No</v>
      </c>
      <c r="L2550">
        <v>1</v>
      </c>
      <c r="N2550">
        <v>160</v>
      </c>
      <c r="O2550">
        <f>210-117</f>
        <v>93</v>
      </c>
      <c r="T2550" t="str">
        <f t="shared" si="307"/>
        <v/>
      </c>
    </row>
    <row r="2551" spans="1:20" x14ac:dyDescent="0.55000000000000004">
      <c r="A2551">
        <v>9</v>
      </c>
      <c r="B2551" s="15" t="str">
        <f t="shared" si="312"/>
        <v>9_6</v>
      </c>
      <c r="C2551" s="20">
        <v>46233.375</v>
      </c>
      <c r="D2551" t="s">
        <v>172</v>
      </c>
      <c r="E2551">
        <v>2</v>
      </c>
      <c r="F2551" t="s">
        <v>168</v>
      </c>
      <c r="G2551" t="str">
        <f t="shared" si="313"/>
        <v>Paranephrops planifrons</v>
      </c>
      <c r="H2551" t="str">
        <f t="shared" si="308"/>
        <v>Freshwater_crayfish</v>
      </c>
      <c r="I2551" t="str">
        <f t="shared" si="309"/>
        <v>Kōura</v>
      </c>
      <c r="J2551" t="str">
        <f t="shared" si="310"/>
        <v>Native</v>
      </c>
      <c r="K2551" t="str">
        <f t="shared" si="311"/>
        <v>Yes</v>
      </c>
      <c r="L2551">
        <v>1</v>
      </c>
      <c r="M2551" t="s">
        <v>199</v>
      </c>
      <c r="N2551">
        <v>26</v>
      </c>
      <c r="O2551">
        <v>12</v>
      </c>
      <c r="T2551" t="str">
        <f t="shared" si="307"/>
        <v/>
      </c>
    </row>
    <row r="2552" spans="1:20" hidden="1" x14ac:dyDescent="0.55000000000000004">
      <c r="A2552">
        <v>9</v>
      </c>
      <c r="B2552" s="15" t="str">
        <f t="shared" si="312"/>
        <v>9_6</v>
      </c>
      <c r="C2552" s="20">
        <v>46233.375</v>
      </c>
      <c r="D2552" t="s">
        <v>172</v>
      </c>
      <c r="E2552">
        <v>2</v>
      </c>
      <c r="F2552" t="s">
        <v>182</v>
      </c>
      <c r="G2552" t="str">
        <f t="shared" si="313"/>
        <v>Galaxias brevipinnis</v>
      </c>
      <c r="H2552" t="str">
        <f t="shared" si="308"/>
        <v>Climbing_galaxias</v>
      </c>
      <c r="I2552" t="str">
        <f t="shared" si="309"/>
        <v>Kōaro</v>
      </c>
      <c r="J2552" t="str">
        <f t="shared" si="310"/>
        <v>Native</v>
      </c>
      <c r="K2552" t="str">
        <f t="shared" si="311"/>
        <v>Yes</v>
      </c>
      <c r="L2552">
        <v>1</v>
      </c>
      <c r="N2552">
        <v>90</v>
      </c>
      <c r="O2552">
        <v>6</v>
      </c>
      <c r="T2552" t="str">
        <f t="shared" si="307"/>
        <v/>
      </c>
    </row>
    <row r="2553" spans="1:20" hidden="1" x14ac:dyDescent="0.55000000000000004">
      <c r="A2553">
        <v>9</v>
      </c>
      <c r="B2553" s="15" t="str">
        <f t="shared" si="312"/>
        <v>9_6</v>
      </c>
      <c r="C2553" s="20">
        <v>46233.375</v>
      </c>
      <c r="D2553" t="s">
        <v>172</v>
      </c>
      <c r="E2553">
        <v>2</v>
      </c>
      <c r="F2553" t="s">
        <v>182</v>
      </c>
      <c r="G2553" t="str">
        <f t="shared" si="313"/>
        <v>Galaxias brevipinnis</v>
      </c>
      <c r="H2553" t="str">
        <f t="shared" si="308"/>
        <v>Climbing_galaxias</v>
      </c>
      <c r="I2553" t="str">
        <f t="shared" si="309"/>
        <v>Kōaro</v>
      </c>
      <c r="J2553" t="str">
        <f t="shared" si="310"/>
        <v>Native</v>
      </c>
      <c r="K2553" t="str">
        <f t="shared" si="311"/>
        <v>Yes</v>
      </c>
      <c r="L2553">
        <v>1</v>
      </c>
      <c r="N2553">
        <v>100</v>
      </c>
      <c r="O2553">
        <v>10</v>
      </c>
      <c r="T2553" t="str">
        <f t="shared" si="307"/>
        <v/>
      </c>
    </row>
    <row r="2554" spans="1:20" hidden="1" x14ac:dyDescent="0.55000000000000004">
      <c r="A2554">
        <v>9</v>
      </c>
      <c r="B2554" s="15" t="str">
        <f t="shared" si="312"/>
        <v>9_6</v>
      </c>
      <c r="C2554" s="20">
        <v>46233.375</v>
      </c>
      <c r="D2554" t="s">
        <v>172</v>
      </c>
      <c r="E2554">
        <v>2</v>
      </c>
      <c r="F2554" t="s">
        <v>182</v>
      </c>
      <c r="G2554" t="str">
        <f t="shared" si="313"/>
        <v>Galaxias brevipinnis</v>
      </c>
      <c r="H2554" t="str">
        <f t="shared" si="308"/>
        <v>Climbing_galaxias</v>
      </c>
      <c r="I2554" t="str">
        <f t="shared" si="309"/>
        <v>Kōaro</v>
      </c>
      <c r="J2554" t="str">
        <f t="shared" si="310"/>
        <v>Native</v>
      </c>
      <c r="K2554" t="str">
        <f t="shared" si="311"/>
        <v>Yes</v>
      </c>
      <c r="L2554">
        <v>1</v>
      </c>
      <c r="N2554">
        <v>110</v>
      </c>
      <c r="O2554">
        <v>11</v>
      </c>
      <c r="T2554" t="str">
        <f t="shared" si="307"/>
        <v/>
      </c>
    </row>
    <row r="2555" spans="1:20" hidden="1" x14ac:dyDescent="0.55000000000000004">
      <c r="A2555">
        <v>9</v>
      </c>
      <c r="B2555" s="15" t="str">
        <f t="shared" si="312"/>
        <v>9_6</v>
      </c>
      <c r="C2555" s="20">
        <v>46233.375</v>
      </c>
      <c r="D2555" t="s">
        <v>172</v>
      </c>
      <c r="E2555">
        <v>2</v>
      </c>
      <c r="F2555" t="s">
        <v>182</v>
      </c>
      <c r="G2555" t="str">
        <f t="shared" si="313"/>
        <v>Galaxias brevipinnis</v>
      </c>
      <c r="H2555" t="str">
        <f t="shared" si="308"/>
        <v>Climbing_galaxias</v>
      </c>
      <c r="I2555" t="str">
        <f t="shared" si="309"/>
        <v>Kōaro</v>
      </c>
      <c r="J2555" t="str">
        <f t="shared" si="310"/>
        <v>Native</v>
      </c>
      <c r="K2555" t="str">
        <f t="shared" si="311"/>
        <v>Yes</v>
      </c>
      <c r="L2555">
        <v>1</v>
      </c>
      <c r="N2555">
        <v>95</v>
      </c>
      <c r="O2555">
        <v>9</v>
      </c>
      <c r="T2555" t="str">
        <f t="shared" si="307"/>
        <v/>
      </c>
    </row>
    <row r="2556" spans="1:20" hidden="1" x14ac:dyDescent="0.55000000000000004">
      <c r="A2556">
        <v>9</v>
      </c>
      <c r="B2556" s="15" t="str">
        <f t="shared" si="312"/>
        <v>9_6</v>
      </c>
      <c r="C2556" s="20">
        <v>46233.375</v>
      </c>
      <c r="D2556" t="s">
        <v>172</v>
      </c>
      <c r="E2556">
        <v>2</v>
      </c>
      <c r="F2556" t="s">
        <v>182</v>
      </c>
      <c r="G2556" t="str">
        <f t="shared" si="313"/>
        <v>Galaxias brevipinnis</v>
      </c>
      <c r="H2556" t="str">
        <f t="shared" si="308"/>
        <v>Climbing_galaxias</v>
      </c>
      <c r="I2556" t="str">
        <f t="shared" si="309"/>
        <v>Kōaro</v>
      </c>
      <c r="J2556" t="str">
        <f t="shared" si="310"/>
        <v>Native</v>
      </c>
      <c r="K2556" t="str">
        <f t="shared" si="311"/>
        <v>Yes</v>
      </c>
      <c r="L2556">
        <v>1</v>
      </c>
      <c r="N2556">
        <v>95</v>
      </c>
      <c r="O2556">
        <v>7</v>
      </c>
      <c r="T2556" t="str">
        <f t="shared" si="307"/>
        <v/>
      </c>
    </row>
    <row r="2557" spans="1:20" hidden="1" x14ac:dyDescent="0.55000000000000004">
      <c r="A2557">
        <v>9</v>
      </c>
      <c r="B2557" s="15" t="str">
        <f t="shared" si="312"/>
        <v>9_6</v>
      </c>
      <c r="C2557" s="20">
        <v>46233.375</v>
      </c>
      <c r="D2557" t="s">
        <v>172</v>
      </c>
      <c r="E2557">
        <v>2</v>
      </c>
      <c r="F2557" t="s">
        <v>182</v>
      </c>
      <c r="G2557" t="str">
        <f t="shared" si="313"/>
        <v>Galaxias brevipinnis</v>
      </c>
      <c r="H2557" t="str">
        <f t="shared" si="308"/>
        <v>Climbing_galaxias</v>
      </c>
      <c r="I2557" t="str">
        <f t="shared" si="309"/>
        <v>Kōaro</v>
      </c>
      <c r="J2557" t="str">
        <f t="shared" si="310"/>
        <v>Native</v>
      </c>
      <c r="K2557" t="str">
        <f t="shared" si="311"/>
        <v>Yes</v>
      </c>
      <c r="L2557">
        <v>1</v>
      </c>
      <c r="N2557">
        <v>55</v>
      </c>
      <c r="O2557">
        <v>1</v>
      </c>
      <c r="T2557" t="str">
        <f t="shared" si="307"/>
        <v/>
      </c>
    </row>
    <row r="2558" spans="1:20" hidden="1" x14ac:dyDescent="0.55000000000000004">
      <c r="A2558">
        <v>9</v>
      </c>
      <c r="B2558" s="15" t="str">
        <f t="shared" si="312"/>
        <v>9_6</v>
      </c>
      <c r="C2558" s="20">
        <v>46233.375</v>
      </c>
      <c r="D2558" t="s">
        <v>172</v>
      </c>
      <c r="E2558">
        <v>2</v>
      </c>
      <c r="F2558" t="s">
        <v>167</v>
      </c>
      <c r="G2558" t="str">
        <f t="shared" si="313"/>
        <v>Gobiomorphus cotidianus</v>
      </c>
      <c r="H2558" t="str">
        <f t="shared" si="308"/>
        <v>Common_bully</v>
      </c>
      <c r="I2558" t="str">
        <f t="shared" si="309"/>
        <v>Toitoi</v>
      </c>
      <c r="J2558" t="str">
        <f t="shared" si="310"/>
        <v>Native</v>
      </c>
      <c r="K2558" t="str">
        <f t="shared" si="311"/>
        <v>No</v>
      </c>
      <c r="O2558">
        <v>403</v>
      </c>
      <c r="S2558">
        <v>2</v>
      </c>
      <c r="T2558">
        <f t="shared" si="307"/>
        <v>473.17599999999999</v>
      </c>
    </row>
    <row r="2559" spans="1:20" hidden="1" x14ac:dyDescent="0.55000000000000004">
      <c r="A2559">
        <v>10</v>
      </c>
      <c r="B2559" s="15" t="str">
        <f t="shared" si="312"/>
        <v>10_6</v>
      </c>
      <c r="C2559" s="20">
        <v>46233.395833333336</v>
      </c>
      <c r="D2559" t="s">
        <v>166</v>
      </c>
      <c r="E2559">
        <v>2</v>
      </c>
      <c r="F2559" t="s">
        <v>167</v>
      </c>
      <c r="G2559" t="str">
        <f t="shared" si="313"/>
        <v>Gobiomorphus cotidianus</v>
      </c>
      <c r="H2559" t="str">
        <f t="shared" si="308"/>
        <v>Common_bully</v>
      </c>
      <c r="I2559" t="str">
        <f t="shared" si="309"/>
        <v>Toitoi</v>
      </c>
      <c r="J2559" t="str">
        <f t="shared" si="310"/>
        <v>Native</v>
      </c>
      <c r="K2559" t="str">
        <f t="shared" si="311"/>
        <v>No</v>
      </c>
      <c r="L2559">
        <v>2</v>
      </c>
      <c r="O2559">
        <v>3</v>
      </c>
      <c r="T2559" t="str">
        <f t="shared" si="307"/>
        <v/>
      </c>
    </row>
    <row r="2560" spans="1:20" hidden="1" x14ac:dyDescent="0.55000000000000004">
      <c r="A2560">
        <v>10</v>
      </c>
      <c r="B2560" s="15" t="str">
        <f t="shared" si="312"/>
        <v>10_6</v>
      </c>
      <c r="C2560" s="20">
        <v>46233.395833333336</v>
      </c>
      <c r="D2560" t="s">
        <v>172</v>
      </c>
      <c r="E2560">
        <v>2</v>
      </c>
      <c r="F2560" t="s">
        <v>182</v>
      </c>
      <c r="G2560" t="str">
        <f t="shared" si="313"/>
        <v>Galaxias brevipinnis</v>
      </c>
      <c r="H2560" t="str">
        <f t="shared" si="308"/>
        <v>Climbing_galaxias</v>
      </c>
      <c r="I2560" t="str">
        <f t="shared" si="309"/>
        <v>Kōaro</v>
      </c>
      <c r="J2560" t="str">
        <f t="shared" si="310"/>
        <v>Native</v>
      </c>
      <c r="K2560" t="str">
        <f t="shared" si="311"/>
        <v>Yes</v>
      </c>
      <c r="L2560">
        <v>1</v>
      </c>
      <c r="N2560">
        <v>150</v>
      </c>
      <c r="O2560">
        <v>47</v>
      </c>
      <c r="T2560" t="str">
        <f t="shared" si="307"/>
        <v/>
      </c>
    </row>
    <row r="2561" spans="1:20" x14ac:dyDescent="0.55000000000000004">
      <c r="A2561">
        <v>10</v>
      </c>
      <c r="B2561" s="15" t="str">
        <f t="shared" si="312"/>
        <v>10_6</v>
      </c>
      <c r="C2561" s="20">
        <v>46233.395833333336</v>
      </c>
      <c r="D2561" t="s">
        <v>172</v>
      </c>
      <c r="E2561">
        <v>2</v>
      </c>
      <c r="F2561" t="s">
        <v>168</v>
      </c>
      <c r="G2561" t="str">
        <f t="shared" si="313"/>
        <v>Paranephrops planifrons</v>
      </c>
      <c r="H2561" t="str">
        <f t="shared" si="308"/>
        <v>Freshwater_crayfish</v>
      </c>
      <c r="I2561" t="str">
        <f t="shared" si="309"/>
        <v>Kōura</v>
      </c>
      <c r="J2561" t="str">
        <f t="shared" si="310"/>
        <v>Native</v>
      </c>
      <c r="K2561" t="str">
        <f t="shared" si="311"/>
        <v>Yes</v>
      </c>
      <c r="L2561">
        <v>1</v>
      </c>
      <c r="M2561" t="s">
        <v>199</v>
      </c>
      <c r="N2561">
        <v>30</v>
      </c>
      <c r="O2561">
        <v>17</v>
      </c>
      <c r="T2561" t="str">
        <f t="shared" si="307"/>
        <v/>
      </c>
    </row>
    <row r="2562" spans="1:20" hidden="1" x14ac:dyDescent="0.55000000000000004">
      <c r="A2562">
        <v>10</v>
      </c>
      <c r="B2562" s="15" t="str">
        <f t="shared" si="312"/>
        <v>10_6</v>
      </c>
      <c r="C2562" s="20">
        <v>46233.395833333336</v>
      </c>
      <c r="D2562" t="s">
        <v>172</v>
      </c>
      <c r="E2562">
        <v>2</v>
      </c>
      <c r="F2562" t="s">
        <v>182</v>
      </c>
      <c r="G2562" t="str">
        <f t="shared" si="313"/>
        <v>Galaxias brevipinnis</v>
      </c>
      <c r="H2562" t="str">
        <f t="shared" si="308"/>
        <v>Climbing_galaxias</v>
      </c>
      <c r="I2562" t="str">
        <f t="shared" si="309"/>
        <v>Kōaro</v>
      </c>
      <c r="J2562" t="str">
        <f t="shared" si="310"/>
        <v>Native</v>
      </c>
      <c r="K2562" t="str">
        <f t="shared" si="311"/>
        <v>Yes</v>
      </c>
      <c r="L2562">
        <v>1</v>
      </c>
      <c r="N2562">
        <v>130</v>
      </c>
      <c r="O2562">
        <v>22</v>
      </c>
      <c r="T2562" t="str">
        <f t="shared" si="307"/>
        <v/>
      </c>
    </row>
    <row r="2563" spans="1:20" hidden="1" x14ac:dyDescent="0.55000000000000004">
      <c r="A2563">
        <v>10</v>
      </c>
      <c r="B2563" s="15" t="str">
        <f t="shared" si="312"/>
        <v>10_6</v>
      </c>
      <c r="C2563" s="20">
        <v>46233.395833333336</v>
      </c>
      <c r="D2563" t="s">
        <v>172</v>
      </c>
      <c r="E2563">
        <v>2</v>
      </c>
      <c r="F2563" t="s">
        <v>182</v>
      </c>
      <c r="G2563" t="str">
        <f t="shared" si="313"/>
        <v>Galaxias brevipinnis</v>
      </c>
      <c r="H2563" t="str">
        <f t="shared" si="308"/>
        <v>Climbing_galaxias</v>
      </c>
      <c r="I2563" t="str">
        <f t="shared" si="309"/>
        <v>Kōaro</v>
      </c>
      <c r="J2563" t="str">
        <f t="shared" si="310"/>
        <v>Native</v>
      </c>
      <c r="K2563" t="str">
        <f t="shared" si="311"/>
        <v>Yes</v>
      </c>
      <c r="L2563">
        <v>1</v>
      </c>
      <c r="N2563">
        <v>120</v>
      </c>
      <c r="O2563">
        <v>15</v>
      </c>
      <c r="T2563" t="str">
        <f t="shared" si="307"/>
        <v/>
      </c>
    </row>
    <row r="2564" spans="1:20" hidden="1" x14ac:dyDescent="0.55000000000000004">
      <c r="A2564">
        <v>10</v>
      </c>
      <c r="B2564" s="15" t="str">
        <f t="shared" si="312"/>
        <v>10_6</v>
      </c>
      <c r="C2564" s="20">
        <v>46233.395833333336</v>
      </c>
      <c r="D2564" t="s">
        <v>172</v>
      </c>
      <c r="E2564">
        <v>2</v>
      </c>
      <c r="F2564" t="s">
        <v>182</v>
      </c>
      <c r="G2564" t="str">
        <f t="shared" si="313"/>
        <v>Galaxias brevipinnis</v>
      </c>
      <c r="H2564" t="str">
        <f t="shared" si="308"/>
        <v>Climbing_galaxias</v>
      </c>
      <c r="I2564" t="str">
        <f t="shared" si="309"/>
        <v>Kōaro</v>
      </c>
      <c r="J2564" t="str">
        <f t="shared" si="310"/>
        <v>Native</v>
      </c>
      <c r="K2564" t="str">
        <f t="shared" si="311"/>
        <v>Yes</v>
      </c>
      <c r="L2564">
        <v>1</v>
      </c>
      <c r="N2564">
        <v>80</v>
      </c>
      <c r="O2564">
        <v>5</v>
      </c>
      <c r="T2564" t="str">
        <f t="shared" ref="T2564:T2627" si="314">IF(S2564&lt;&gt;"", S2564*236.588, "")</f>
        <v/>
      </c>
    </row>
    <row r="2565" spans="1:20" hidden="1" x14ac:dyDescent="0.55000000000000004">
      <c r="A2565">
        <v>10</v>
      </c>
      <c r="B2565" s="15" t="str">
        <f t="shared" si="312"/>
        <v>10_6</v>
      </c>
      <c r="C2565" s="20">
        <v>46233.395833333336</v>
      </c>
      <c r="D2565" t="s">
        <v>172</v>
      </c>
      <c r="E2565">
        <v>2</v>
      </c>
      <c r="F2565" t="s">
        <v>182</v>
      </c>
      <c r="G2565" t="str">
        <f t="shared" si="313"/>
        <v>Galaxias brevipinnis</v>
      </c>
      <c r="H2565" t="str">
        <f t="shared" si="308"/>
        <v>Climbing_galaxias</v>
      </c>
      <c r="I2565" t="str">
        <f t="shared" si="309"/>
        <v>Kōaro</v>
      </c>
      <c r="J2565" t="str">
        <f t="shared" si="310"/>
        <v>Native</v>
      </c>
      <c r="K2565" t="str">
        <f t="shared" si="311"/>
        <v>Yes</v>
      </c>
      <c r="L2565">
        <v>1</v>
      </c>
      <c r="N2565">
        <v>85</v>
      </c>
      <c r="O2565">
        <v>6</v>
      </c>
      <c r="T2565" t="str">
        <f t="shared" si="314"/>
        <v/>
      </c>
    </row>
    <row r="2566" spans="1:20" hidden="1" x14ac:dyDescent="0.55000000000000004">
      <c r="A2566">
        <v>10</v>
      </c>
      <c r="B2566" s="15" t="str">
        <f t="shared" si="312"/>
        <v>10_6</v>
      </c>
      <c r="C2566" s="20">
        <v>46233.395833333336</v>
      </c>
      <c r="D2566" t="s">
        <v>172</v>
      </c>
      <c r="E2566">
        <v>2</v>
      </c>
      <c r="F2566" t="s">
        <v>182</v>
      </c>
      <c r="G2566" t="str">
        <f t="shared" si="313"/>
        <v>Galaxias brevipinnis</v>
      </c>
      <c r="H2566" t="str">
        <f t="shared" si="308"/>
        <v>Climbing_galaxias</v>
      </c>
      <c r="I2566" t="str">
        <f t="shared" si="309"/>
        <v>Kōaro</v>
      </c>
      <c r="J2566" t="str">
        <f t="shared" si="310"/>
        <v>Native</v>
      </c>
      <c r="K2566" t="str">
        <f t="shared" si="311"/>
        <v>Yes</v>
      </c>
      <c r="L2566">
        <v>1</v>
      </c>
      <c r="N2566">
        <v>90</v>
      </c>
      <c r="O2566">
        <v>6</v>
      </c>
      <c r="T2566" t="str">
        <f t="shared" si="314"/>
        <v/>
      </c>
    </row>
    <row r="2567" spans="1:20" hidden="1" x14ac:dyDescent="0.55000000000000004">
      <c r="A2567">
        <v>10</v>
      </c>
      <c r="B2567" s="15" t="str">
        <f t="shared" si="312"/>
        <v>10_6</v>
      </c>
      <c r="C2567" s="20">
        <v>46233.395833333336</v>
      </c>
      <c r="D2567" t="s">
        <v>172</v>
      </c>
      <c r="E2567">
        <v>2</v>
      </c>
      <c r="F2567" t="s">
        <v>182</v>
      </c>
      <c r="G2567" t="str">
        <f t="shared" si="313"/>
        <v>Galaxias brevipinnis</v>
      </c>
      <c r="H2567" t="str">
        <f t="shared" si="308"/>
        <v>Climbing_galaxias</v>
      </c>
      <c r="I2567" t="str">
        <f t="shared" si="309"/>
        <v>Kōaro</v>
      </c>
      <c r="J2567" t="str">
        <f t="shared" si="310"/>
        <v>Native</v>
      </c>
      <c r="K2567" t="str">
        <f t="shared" si="311"/>
        <v>Yes</v>
      </c>
      <c r="L2567">
        <v>1</v>
      </c>
      <c r="N2567">
        <v>80</v>
      </c>
      <c r="O2567">
        <v>6</v>
      </c>
      <c r="T2567" t="str">
        <f t="shared" si="314"/>
        <v/>
      </c>
    </row>
    <row r="2568" spans="1:20" hidden="1" x14ac:dyDescent="0.55000000000000004">
      <c r="A2568">
        <v>10</v>
      </c>
      <c r="B2568" s="15" t="str">
        <f t="shared" si="312"/>
        <v>10_6</v>
      </c>
      <c r="C2568" s="20">
        <v>46233.395833333336</v>
      </c>
      <c r="D2568" t="s">
        <v>172</v>
      </c>
      <c r="E2568">
        <v>2</v>
      </c>
      <c r="F2568" t="s">
        <v>182</v>
      </c>
      <c r="G2568" t="str">
        <f t="shared" si="313"/>
        <v>Galaxias brevipinnis</v>
      </c>
      <c r="H2568" t="str">
        <f t="shared" si="308"/>
        <v>Climbing_galaxias</v>
      </c>
      <c r="I2568" t="str">
        <f t="shared" si="309"/>
        <v>Kōaro</v>
      </c>
      <c r="J2568" t="str">
        <f t="shared" si="310"/>
        <v>Native</v>
      </c>
      <c r="K2568" t="str">
        <f t="shared" si="311"/>
        <v>Yes</v>
      </c>
      <c r="L2568">
        <v>1</v>
      </c>
      <c r="N2568">
        <v>100</v>
      </c>
      <c r="O2568">
        <v>10</v>
      </c>
      <c r="T2568" t="str">
        <f t="shared" si="314"/>
        <v/>
      </c>
    </row>
    <row r="2569" spans="1:20" hidden="1" x14ac:dyDescent="0.55000000000000004">
      <c r="A2569">
        <v>10</v>
      </c>
      <c r="B2569" s="15" t="str">
        <f t="shared" si="312"/>
        <v>10_6</v>
      </c>
      <c r="C2569" s="20">
        <v>46233.395833333336</v>
      </c>
      <c r="D2569" t="s">
        <v>172</v>
      </c>
      <c r="E2569">
        <v>2</v>
      </c>
      <c r="F2569" t="s">
        <v>182</v>
      </c>
      <c r="G2569" t="str">
        <f t="shared" si="313"/>
        <v>Galaxias brevipinnis</v>
      </c>
      <c r="H2569" t="str">
        <f t="shared" si="308"/>
        <v>Climbing_galaxias</v>
      </c>
      <c r="I2569" t="str">
        <f t="shared" si="309"/>
        <v>Kōaro</v>
      </c>
      <c r="J2569" t="str">
        <f t="shared" si="310"/>
        <v>Native</v>
      </c>
      <c r="K2569" t="str">
        <f t="shared" si="311"/>
        <v>Yes</v>
      </c>
      <c r="L2569">
        <v>1</v>
      </c>
      <c r="N2569">
        <v>90</v>
      </c>
      <c r="O2569">
        <v>7</v>
      </c>
      <c r="T2569" t="str">
        <f t="shared" si="314"/>
        <v/>
      </c>
    </row>
    <row r="2570" spans="1:20" hidden="1" x14ac:dyDescent="0.55000000000000004">
      <c r="A2570">
        <v>10</v>
      </c>
      <c r="B2570" s="15" t="str">
        <f t="shared" si="312"/>
        <v>10_6</v>
      </c>
      <c r="C2570" s="20">
        <v>46233.395833333336</v>
      </c>
      <c r="D2570" t="s">
        <v>172</v>
      </c>
      <c r="E2570">
        <v>2</v>
      </c>
      <c r="F2570" t="s">
        <v>182</v>
      </c>
      <c r="G2570" t="str">
        <f t="shared" si="313"/>
        <v>Galaxias brevipinnis</v>
      </c>
      <c r="H2570" t="str">
        <f t="shared" si="308"/>
        <v>Climbing_galaxias</v>
      </c>
      <c r="I2570" t="str">
        <f t="shared" si="309"/>
        <v>Kōaro</v>
      </c>
      <c r="J2570" t="str">
        <f t="shared" si="310"/>
        <v>Native</v>
      </c>
      <c r="K2570" t="str">
        <f t="shared" si="311"/>
        <v>Yes</v>
      </c>
      <c r="L2570">
        <v>1</v>
      </c>
      <c r="N2570">
        <v>110</v>
      </c>
      <c r="O2570">
        <v>13</v>
      </c>
      <c r="T2570" t="str">
        <f t="shared" si="314"/>
        <v/>
      </c>
    </row>
    <row r="2571" spans="1:20" hidden="1" x14ac:dyDescent="0.55000000000000004">
      <c r="A2571">
        <v>10</v>
      </c>
      <c r="B2571" s="15" t="str">
        <f t="shared" si="312"/>
        <v>10_6</v>
      </c>
      <c r="C2571" s="20">
        <v>46233.395833333336</v>
      </c>
      <c r="D2571" t="s">
        <v>172</v>
      </c>
      <c r="E2571">
        <v>2</v>
      </c>
      <c r="F2571" t="s">
        <v>182</v>
      </c>
      <c r="G2571" t="str">
        <f t="shared" si="313"/>
        <v>Galaxias brevipinnis</v>
      </c>
      <c r="H2571" t="str">
        <f t="shared" si="308"/>
        <v>Climbing_galaxias</v>
      </c>
      <c r="I2571" t="str">
        <f t="shared" si="309"/>
        <v>Kōaro</v>
      </c>
      <c r="J2571" t="str">
        <f t="shared" si="310"/>
        <v>Native</v>
      </c>
      <c r="K2571" t="str">
        <f t="shared" si="311"/>
        <v>Yes</v>
      </c>
      <c r="L2571">
        <v>1</v>
      </c>
      <c r="N2571">
        <v>100</v>
      </c>
      <c r="O2571">
        <v>11</v>
      </c>
      <c r="T2571" t="str">
        <f t="shared" si="314"/>
        <v/>
      </c>
    </row>
    <row r="2572" spans="1:20" hidden="1" x14ac:dyDescent="0.55000000000000004">
      <c r="A2572">
        <v>10</v>
      </c>
      <c r="B2572" s="15" t="str">
        <f t="shared" si="312"/>
        <v>10_6</v>
      </c>
      <c r="C2572" s="20">
        <v>46233.395833333336</v>
      </c>
      <c r="D2572" t="s">
        <v>172</v>
      </c>
      <c r="E2572">
        <v>2</v>
      </c>
      <c r="F2572" t="s">
        <v>182</v>
      </c>
      <c r="G2572" t="str">
        <f t="shared" si="313"/>
        <v>Galaxias brevipinnis</v>
      </c>
      <c r="H2572" t="str">
        <f t="shared" si="308"/>
        <v>Climbing_galaxias</v>
      </c>
      <c r="I2572" t="str">
        <f t="shared" si="309"/>
        <v>Kōaro</v>
      </c>
      <c r="J2572" t="str">
        <f t="shared" si="310"/>
        <v>Native</v>
      </c>
      <c r="K2572" t="str">
        <f t="shared" si="311"/>
        <v>Yes</v>
      </c>
      <c r="L2572">
        <v>1</v>
      </c>
      <c r="N2572">
        <v>90</v>
      </c>
      <c r="O2572">
        <v>6</v>
      </c>
      <c r="T2572" t="str">
        <f t="shared" si="314"/>
        <v/>
      </c>
    </row>
    <row r="2573" spans="1:20" hidden="1" x14ac:dyDescent="0.55000000000000004">
      <c r="A2573">
        <v>10</v>
      </c>
      <c r="B2573" s="15" t="str">
        <f t="shared" si="312"/>
        <v>10_6</v>
      </c>
      <c r="C2573" s="20">
        <v>46233.395833333336</v>
      </c>
      <c r="D2573" t="s">
        <v>172</v>
      </c>
      <c r="E2573">
        <v>2</v>
      </c>
      <c r="F2573" t="s">
        <v>182</v>
      </c>
      <c r="G2573" t="str">
        <f t="shared" si="313"/>
        <v>Galaxias brevipinnis</v>
      </c>
      <c r="H2573" t="str">
        <f t="shared" si="308"/>
        <v>Climbing_galaxias</v>
      </c>
      <c r="I2573" t="str">
        <f t="shared" si="309"/>
        <v>Kōaro</v>
      </c>
      <c r="J2573" t="str">
        <f t="shared" si="310"/>
        <v>Native</v>
      </c>
      <c r="K2573" t="str">
        <f t="shared" si="311"/>
        <v>Yes</v>
      </c>
      <c r="L2573">
        <v>1</v>
      </c>
      <c r="N2573">
        <v>95</v>
      </c>
      <c r="O2573">
        <v>11</v>
      </c>
      <c r="T2573" t="str">
        <f t="shared" si="314"/>
        <v/>
      </c>
    </row>
    <row r="2574" spans="1:20" hidden="1" x14ac:dyDescent="0.55000000000000004">
      <c r="A2574">
        <v>10</v>
      </c>
      <c r="B2574" s="15" t="str">
        <f t="shared" si="312"/>
        <v>10_6</v>
      </c>
      <c r="C2574" s="20">
        <v>46233.395833333336</v>
      </c>
      <c r="D2574" t="s">
        <v>172</v>
      </c>
      <c r="E2574">
        <v>2</v>
      </c>
      <c r="F2574" t="s">
        <v>182</v>
      </c>
      <c r="G2574" t="str">
        <f t="shared" si="313"/>
        <v>Galaxias brevipinnis</v>
      </c>
      <c r="H2574" t="str">
        <f t="shared" si="308"/>
        <v>Climbing_galaxias</v>
      </c>
      <c r="I2574" t="str">
        <f t="shared" si="309"/>
        <v>Kōaro</v>
      </c>
      <c r="J2574" t="str">
        <f t="shared" si="310"/>
        <v>Native</v>
      </c>
      <c r="K2574" t="str">
        <f t="shared" si="311"/>
        <v>Yes</v>
      </c>
      <c r="L2574">
        <v>1</v>
      </c>
      <c r="N2574">
        <v>90</v>
      </c>
      <c r="O2574">
        <v>7</v>
      </c>
      <c r="T2574" t="str">
        <f t="shared" si="314"/>
        <v/>
      </c>
    </row>
    <row r="2575" spans="1:20" hidden="1" x14ac:dyDescent="0.55000000000000004">
      <c r="A2575">
        <v>10</v>
      </c>
      <c r="B2575" s="15" t="str">
        <f t="shared" si="312"/>
        <v>10_6</v>
      </c>
      <c r="C2575" s="20">
        <v>46233.395833333336</v>
      </c>
      <c r="D2575" t="s">
        <v>172</v>
      </c>
      <c r="E2575">
        <v>2</v>
      </c>
      <c r="F2575" t="s">
        <v>182</v>
      </c>
      <c r="G2575" t="str">
        <f t="shared" si="313"/>
        <v>Galaxias brevipinnis</v>
      </c>
      <c r="H2575" t="str">
        <f t="shared" si="308"/>
        <v>Climbing_galaxias</v>
      </c>
      <c r="I2575" t="str">
        <f t="shared" si="309"/>
        <v>Kōaro</v>
      </c>
      <c r="J2575" t="str">
        <f t="shared" si="310"/>
        <v>Native</v>
      </c>
      <c r="K2575" t="str">
        <f t="shared" si="311"/>
        <v>Yes</v>
      </c>
      <c r="L2575">
        <v>1</v>
      </c>
      <c r="N2575">
        <v>85</v>
      </c>
      <c r="O2575">
        <v>5</v>
      </c>
      <c r="T2575" t="str">
        <f t="shared" si="314"/>
        <v/>
      </c>
    </row>
    <row r="2576" spans="1:20" hidden="1" x14ac:dyDescent="0.55000000000000004">
      <c r="A2576">
        <v>10</v>
      </c>
      <c r="B2576" s="15" t="str">
        <f t="shared" si="312"/>
        <v>10_6</v>
      </c>
      <c r="C2576" s="20">
        <v>46233.395833333336</v>
      </c>
      <c r="D2576" t="s">
        <v>172</v>
      </c>
      <c r="E2576">
        <v>2</v>
      </c>
      <c r="F2576" t="s">
        <v>182</v>
      </c>
      <c r="G2576" t="str">
        <f t="shared" si="313"/>
        <v>Galaxias brevipinnis</v>
      </c>
      <c r="H2576" t="str">
        <f t="shared" si="308"/>
        <v>Climbing_galaxias</v>
      </c>
      <c r="I2576" t="str">
        <f t="shared" si="309"/>
        <v>Kōaro</v>
      </c>
      <c r="J2576" t="str">
        <f t="shared" si="310"/>
        <v>Native</v>
      </c>
      <c r="K2576" t="str">
        <f t="shared" si="311"/>
        <v>Yes</v>
      </c>
      <c r="L2576">
        <v>1</v>
      </c>
      <c r="N2576">
        <v>85</v>
      </c>
      <c r="O2576">
        <v>6</v>
      </c>
      <c r="T2576" t="str">
        <f t="shared" si="314"/>
        <v/>
      </c>
    </row>
    <row r="2577" spans="1:20" hidden="1" x14ac:dyDescent="0.55000000000000004">
      <c r="A2577">
        <v>10</v>
      </c>
      <c r="B2577" s="15" t="str">
        <f t="shared" si="312"/>
        <v>10_6</v>
      </c>
      <c r="C2577" s="20">
        <v>46233.395833333336</v>
      </c>
      <c r="D2577" t="s">
        <v>172</v>
      </c>
      <c r="E2577">
        <v>2</v>
      </c>
      <c r="F2577" t="s">
        <v>182</v>
      </c>
      <c r="G2577" t="str">
        <f t="shared" si="313"/>
        <v>Galaxias brevipinnis</v>
      </c>
      <c r="H2577" t="str">
        <f t="shared" ref="H2577:H2640" si="315">VLOOKUP($F2577, $W$1:$AB$10, 3, FALSE)</f>
        <v>Climbing_galaxias</v>
      </c>
      <c r="I2577" t="str">
        <f t="shared" ref="I2577:I2640" si="316">VLOOKUP($F2577, $W$1:$AB$10, 4, FALSE)</f>
        <v>Kōaro</v>
      </c>
      <c r="J2577" t="str">
        <f t="shared" ref="J2577:J2640" si="317">VLOOKUP($F2577, $W$1:$AC$10, 5, FALSE)</f>
        <v>Native</v>
      </c>
      <c r="K2577" t="str">
        <f t="shared" ref="K2577:K2640" si="318">VLOOKUP($F2577, $W$1:$AB$10, 6, FALSE)</f>
        <v>Yes</v>
      </c>
      <c r="L2577">
        <v>1</v>
      </c>
      <c r="N2577">
        <v>80</v>
      </c>
      <c r="O2577">
        <v>4</v>
      </c>
      <c r="T2577" t="str">
        <f t="shared" si="314"/>
        <v/>
      </c>
    </row>
    <row r="2578" spans="1:20" hidden="1" x14ac:dyDescent="0.55000000000000004">
      <c r="A2578">
        <v>10</v>
      </c>
      <c r="B2578" s="15" t="str">
        <f t="shared" si="312"/>
        <v>10_6</v>
      </c>
      <c r="C2578" s="20">
        <v>46233.395833333336</v>
      </c>
      <c r="D2578" t="s">
        <v>172</v>
      </c>
      <c r="E2578">
        <v>2</v>
      </c>
      <c r="F2578" t="s">
        <v>182</v>
      </c>
      <c r="G2578" t="str">
        <f t="shared" si="313"/>
        <v>Galaxias brevipinnis</v>
      </c>
      <c r="H2578" t="str">
        <f t="shared" si="315"/>
        <v>Climbing_galaxias</v>
      </c>
      <c r="I2578" t="str">
        <f t="shared" si="316"/>
        <v>Kōaro</v>
      </c>
      <c r="J2578" t="str">
        <f t="shared" si="317"/>
        <v>Native</v>
      </c>
      <c r="K2578" t="str">
        <f t="shared" si="318"/>
        <v>Yes</v>
      </c>
      <c r="L2578">
        <v>1</v>
      </c>
      <c r="N2578">
        <v>95</v>
      </c>
      <c r="O2578">
        <v>8</v>
      </c>
      <c r="T2578" t="str">
        <f t="shared" si="314"/>
        <v/>
      </c>
    </row>
    <row r="2579" spans="1:20" hidden="1" x14ac:dyDescent="0.55000000000000004">
      <c r="A2579">
        <v>10</v>
      </c>
      <c r="B2579" s="15" t="str">
        <f t="shared" si="312"/>
        <v>10_6</v>
      </c>
      <c r="C2579" s="20">
        <v>46233.395833333336</v>
      </c>
      <c r="D2579" t="s">
        <v>172</v>
      </c>
      <c r="E2579">
        <v>2</v>
      </c>
      <c r="F2579" t="s">
        <v>182</v>
      </c>
      <c r="G2579" t="str">
        <f t="shared" si="313"/>
        <v>Galaxias brevipinnis</v>
      </c>
      <c r="H2579" t="str">
        <f t="shared" si="315"/>
        <v>Climbing_galaxias</v>
      </c>
      <c r="I2579" t="str">
        <f t="shared" si="316"/>
        <v>Kōaro</v>
      </c>
      <c r="J2579" t="str">
        <f t="shared" si="317"/>
        <v>Native</v>
      </c>
      <c r="K2579" t="str">
        <f t="shared" si="318"/>
        <v>Yes</v>
      </c>
      <c r="L2579">
        <v>1</v>
      </c>
      <c r="N2579">
        <v>80</v>
      </c>
      <c r="O2579">
        <v>6</v>
      </c>
      <c r="T2579" t="str">
        <f t="shared" si="314"/>
        <v/>
      </c>
    </row>
    <row r="2580" spans="1:20" hidden="1" x14ac:dyDescent="0.55000000000000004">
      <c r="A2580">
        <v>10</v>
      </c>
      <c r="B2580" s="15" t="str">
        <f t="shared" si="312"/>
        <v>10_6</v>
      </c>
      <c r="C2580" s="20">
        <v>46233.395833333336</v>
      </c>
      <c r="D2580" t="s">
        <v>172</v>
      </c>
      <c r="E2580">
        <v>2</v>
      </c>
      <c r="F2580" t="s">
        <v>182</v>
      </c>
      <c r="G2580" t="str">
        <f t="shared" si="313"/>
        <v>Galaxias brevipinnis</v>
      </c>
      <c r="H2580" t="str">
        <f t="shared" si="315"/>
        <v>Climbing_galaxias</v>
      </c>
      <c r="I2580" t="str">
        <f t="shared" si="316"/>
        <v>Kōaro</v>
      </c>
      <c r="J2580" t="str">
        <f t="shared" si="317"/>
        <v>Native</v>
      </c>
      <c r="K2580" t="str">
        <f t="shared" si="318"/>
        <v>Yes</v>
      </c>
      <c r="L2580">
        <v>1</v>
      </c>
      <c r="N2580">
        <v>100</v>
      </c>
      <c r="O2580">
        <v>8</v>
      </c>
      <c r="T2580" t="str">
        <f t="shared" si="314"/>
        <v/>
      </c>
    </row>
    <row r="2581" spans="1:20" hidden="1" x14ac:dyDescent="0.55000000000000004">
      <c r="A2581">
        <v>10</v>
      </c>
      <c r="B2581" s="15" t="str">
        <f t="shared" si="312"/>
        <v>10_6</v>
      </c>
      <c r="C2581" s="20">
        <v>46233.395833333336</v>
      </c>
      <c r="D2581" t="s">
        <v>172</v>
      </c>
      <c r="E2581">
        <v>2</v>
      </c>
      <c r="F2581" t="s">
        <v>167</v>
      </c>
      <c r="G2581" t="str">
        <f t="shared" si="313"/>
        <v>Gobiomorphus cotidianus</v>
      </c>
      <c r="H2581" t="str">
        <f t="shared" si="315"/>
        <v>Common_bully</v>
      </c>
      <c r="I2581" t="str">
        <f t="shared" si="316"/>
        <v>Toitoi</v>
      </c>
      <c r="J2581" t="str">
        <f t="shared" si="317"/>
        <v>Native</v>
      </c>
      <c r="K2581" t="str">
        <f t="shared" si="318"/>
        <v>No</v>
      </c>
      <c r="O2581">
        <v>541</v>
      </c>
      <c r="S2581">
        <v>2.5</v>
      </c>
      <c r="T2581">
        <f t="shared" si="314"/>
        <v>591.47</v>
      </c>
    </row>
    <row r="2582" spans="1:20" x14ac:dyDescent="0.55000000000000004">
      <c r="A2582">
        <v>11</v>
      </c>
      <c r="B2582" s="15" t="str">
        <f t="shared" si="312"/>
        <v>11_6</v>
      </c>
      <c r="C2582" s="20">
        <v>46231.510416666664</v>
      </c>
      <c r="D2582" t="s">
        <v>166</v>
      </c>
      <c r="E2582">
        <v>2</v>
      </c>
      <c r="F2582" t="s">
        <v>168</v>
      </c>
      <c r="G2582" t="str">
        <f t="shared" si="313"/>
        <v>Paranephrops planifrons</v>
      </c>
      <c r="H2582" t="str">
        <f t="shared" si="315"/>
        <v>Freshwater_crayfish</v>
      </c>
      <c r="I2582" t="str">
        <f t="shared" si="316"/>
        <v>Kōura</v>
      </c>
      <c r="J2582" t="str">
        <f t="shared" si="317"/>
        <v>Native</v>
      </c>
      <c r="K2582" t="str">
        <f t="shared" si="318"/>
        <v>Yes</v>
      </c>
      <c r="L2582">
        <v>1</v>
      </c>
      <c r="M2582" t="s">
        <v>199</v>
      </c>
      <c r="N2582">
        <v>41</v>
      </c>
      <c r="O2582">
        <v>54</v>
      </c>
      <c r="T2582" t="str">
        <f t="shared" si="314"/>
        <v/>
      </c>
    </row>
    <row r="2583" spans="1:20" x14ac:dyDescent="0.55000000000000004">
      <c r="A2583">
        <v>11</v>
      </c>
      <c r="B2583" s="15" t="str">
        <f t="shared" si="312"/>
        <v>11_6</v>
      </c>
      <c r="C2583" s="20">
        <v>46231.510416666664</v>
      </c>
      <c r="D2583" t="s">
        <v>166</v>
      </c>
      <c r="E2583">
        <v>2</v>
      </c>
      <c r="F2583" t="s">
        <v>168</v>
      </c>
      <c r="G2583" t="str">
        <f t="shared" si="313"/>
        <v>Paranephrops planifrons</v>
      </c>
      <c r="H2583" t="str">
        <f t="shared" si="315"/>
        <v>Freshwater_crayfish</v>
      </c>
      <c r="I2583" t="str">
        <f t="shared" si="316"/>
        <v>Kōura</v>
      </c>
      <c r="J2583" t="str">
        <f t="shared" si="317"/>
        <v>Native</v>
      </c>
      <c r="K2583" t="str">
        <f t="shared" si="318"/>
        <v>Yes</v>
      </c>
      <c r="L2583">
        <v>1</v>
      </c>
      <c r="M2583" t="s">
        <v>199</v>
      </c>
      <c r="N2583">
        <v>38</v>
      </c>
      <c r="O2583">
        <v>36</v>
      </c>
      <c r="T2583" t="str">
        <f t="shared" si="314"/>
        <v/>
      </c>
    </row>
    <row r="2584" spans="1:20" x14ac:dyDescent="0.55000000000000004">
      <c r="A2584">
        <v>11</v>
      </c>
      <c r="B2584" s="15" t="str">
        <f t="shared" si="312"/>
        <v>11_6</v>
      </c>
      <c r="C2584" s="20">
        <v>46231.510416666664</v>
      </c>
      <c r="D2584" t="s">
        <v>166</v>
      </c>
      <c r="E2584">
        <v>2</v>
      </c>
      <c r="F2584" t="s">
        <v>168</v>
      </c>
      <c r="G2584" t="str">
        <f t="shared" si="313"/>
        <v>Paranephrops planifrons</v>
      </c>
      <c r="H2584" t="str">
        <f t="shared" si="315"/>
        <v>Freshwater_crayfish</v>
      </c>
      <c r="I2584" t="str">
        <f t="shared" si="316"/>
        <v>Kōura</v>
      </c>
      <c r="J2584" t="str">
        <f t="shared" si="317"/>
        <v>Native</v>
      </c>
      <c r="K2584" t="str">
        <f t="shared" si="318"/>
        <v>Yes</v>
      </c>
      <c r="L2584">
        <v>1</v>
      </c>
      <c r="M2584" t="s">
        <v>199</v>
      </c>
      <c r="N2584">
        <v>35</v>
      </c>
      <c r="O2584">
        <v>35</v>
      </c>
      <c r="T2584" t="str">
        <f t="shared" si="314"/>
        <v/>
      </c>
    </row>
    <row r="2585" spans="1:20" x14ac:dyDescent="0.55000000000000004">
      <c r="A2585">
        <v>11</v>
      </c>
      <c r="B2585" s="15" t="str">
        <f t="shared" si="312"/>
        <v>11_6</v>
      </c>
      <c r="C2585" s="20">
        <v>46231.510416666664</v>
      </c>
      <c r="D2585" t="s">
        <v>166</v>
      </c>
      <c r="E2585">
        <v>2</v>
      </c>
      <c r="F2585" t="s">
        <v>168</v>
      </c>
      <c r="G2585" t="str">
        <f t="shared" si="313"/>
        <v>Paranephrops planifrons</v>
      </c>
      <c r="H2585" t="str">
        <f t="shared" si="315"/>
        <v>Freshwater_crayfish</v>
      </c>
      <c r="I2585" t="str">
        <f t="shared" si="316"/>
        <v>Kōura</v>
      </c>
      <c r="J2585" t="str">
        <f t="shared" si="317"/>
        <v>Native</v>
      </c>
      <c r="K2585" t="str">
        <f t="shared" si="318"/>
        <v>Yes</v>
      </c>
      <c r="L2585">
        <v>1</v>
      </c>
      <c r="M2585" t="s">
        <v>199</v>
      </c>
      <c r="N2585">
        <v>35</v>
      </c>
      <c r="O2585">
        <v>33</v>
      </c>
      <c r="T2585" t="str">
        <f t="shared" si="314"/>
        <v/>
      </c>
    </row>
    <row r="2586" spans="1:20" hidden="1" x14ac:dyDescent="0.55000000000000004">
      <c r="A2586">
        <v>11</v>
      </c>
      <c r="B2586" s="15" t="str">
        <f t="shared" si="312"/>
        <v>11_6</v>
      </c>
      <c r="C2586" s="20">
        <v>46231.510416666664</v>
      </c>
      <c r="D2586" t="s">
        <v>166</v>
      </c>
      <c r="E2586">
        <v>2</v>
      </c>
      <c r="F2586" t="s">
        <v>167</v>
      </c>
      <c r="G2586" t="str">
        <f t="shared" si="313"/>
        <v>Gobiomorphus cotidianus</v>
      </c>
      <c r="H2586" t="str">
        <f t="shared" si="315"/>
        <v>Common_bully</v>
      </c>
      <c r="I2586" t="str">
        <f t="shared" si="316"/>
        <v>Toitoi</v>
      </c>
      <c r="J2586" t="str">
        <f t="shared" si="317"/>
        <v>Native</v>
      </c>
      <c r="K2586" t="str">
        <f t="shared" si="318"/>
        <v>No</v>
      </c>
      <c r="O2586">
        <v>14</v>
      </c>
      <c r="T2586" t="str">
        <f t="shared" si="314"/>
        <v/>
      </c>
    </row>
    <row r="2587" spans="1:20" hidden="1" x14ac:dyDescent="0.55000000000000004">
      <c r="A2587">
        <v>11</v>
      </c>
      <c r="B2587" s="15" t="str">
        <f t="shared" si="312"/>
        <v>11_6</v>
      </c>
      <c r="C2587" s="20">
        <v>46231.510416666664</v>
      </c>
      <c r="D2587" t="s">
        <v>172</v>
      </c>
      <c r="E2587">
        <v>2</v>
      </c>
      <c r="F2587" t="s">
        <v>182</v>
      </c>
      <c r="G2587" t="str">
        <f t="shared" si="313"/>
        <v>Galaxias brevipinnis</v>
      </c>
      <c r="H2587" t="str">
        <f t="shared" si="315"/>
        <v>Climbing_galaxias</v>
      </c>
      <c r="I2587" t="str">
        <f t="shared" si="316"/>
        <v>Kōaro</v>
      </c>
      <c r="J2587" t="str">
        <f t="shared" si="317"/>
        <v>Native</v>
      </c>
      <c r="K2587" t="str">
        <f t="shared" si="318"/>
        <v>Yes</v>
      </c>
      <c r="L2587">
        <v>10</v>
      </c>
      <c r="O2587">
        <v>84</v>
      </c>
      <c r="T2587" t="str">
        <f t="shared" si="314"/>
        <v/>
      </c>
    </row>
    <row r="2588" spans="1:20" hidden="1" x14ac:dyDescent="0.55000000000000004">
      <c r="A2588">
        <v>11</v>
      </c>
      <c r="B2588" s="15" t="str">
        <f t="shared" si="312"/>
        <v>11_6</v>
      </c>
      <c r="C2588" s="20">
        <v>46231.510416608799</v>
      </c>
      <c r="D2588" t="s">
        <v>172</v>
      </c>
      <c r="E2588">
        <v>2</v>
      </c>
      <c r="F2588" t="s">
        <v>181</v>
      </c>
      <c r="G2588" t="str">
        <f t="shared" si="313"/>
        <v>Retropinna retropinna</v>
      </c>
      <c r="H2588" t="str">
        <f t="shared" si="315"/>
        <v>Common_smelt</v>
      </c>
      <c r="I2588" t="str">
        <f t="shared" si="316"/>
        <v>Common_smelt</v>
      </c>
      <c r="J2588" t="str">
        <f t="shared" si="317"/>
        <v>Native</v>
      </c>
      <c r="K2588" t="str">
        <f t="shared" si="318"/>
        <v>No</v>
      </c>
      <c r="O2588">
        <v>14</v>
      </c>
      <c r="T2588" t="str">
        <f t="shared" si="314"/>
        <v/>
      </c>
    </row>
    <row r="2589" spans="1:20" hidden="1" x14ac:dyDescent="0.55000000000000004">
      <c r="A2589">
        <v>11</v>
      </c>
      <c r="B2589" s="15" t="str">
        <f t="shared" si="312"/>
        <v>11_6</v>
      </c>
      <c r="C2589" s="20">
        <v>46231.510416608799</v>
      </c>
      <c r="D2589" t="s">
        <v>172</v>
      </c>
      <c r="E2589">
        <v>2</v>
      </c>
      <c r="F2589" t="s">
        <v>182</v>
      </c>
      <c r="G2589" t="str">
        <f t="shared" si="313"/>
        <v>Galaxias brevipinnis</v>
      </c>
      <c r="H2589" t="str">
        <f t="shared" si="315"/>
        <v>Climbing_galaxias</v>
      </c>
      <c r="I2589" t="str">
        <f t="shared" si="316"/>
        <v>Kōaro</v>
      </c>
      <c r="J2589" t="str">
        <f t="shared" si="317"/>
        <v>Native</v>
      </c>
      <c r="K2589" t="str">
        <f t="shared" si="318"/>
        <v>Yes</v>
      </c>
      <c r="L2589">
        <v>2</v>
      </c>
      <c r="O2589">
        <v>10</v>
      </c>
      <c r="T2589" t="str">
        <f t="shared" si="314"/>
        <v/>
      </c>
    </row>
    <row r="2590" spans="1:20" hidden="1" x14ac:dyDescent="0.55000000000000004">
      <c r="A2590">
        <v>11</v>
      </c>
      <c r="B2590" s="15" t="str">
        <f t="shared" si="312"/>
        <v>11_6</v>
      </c>
      <c r="C2590" s="20">
        <v>46231.510416608799</v>
      </c>
      <c r="D2590" t="s">
        <v>172</v>
      </c>
      <c r="E2590">
        <v>2</v>
      </c>
      <c r="F2590" t="s">
        <v>167</v>
      </c>
      <c r="G2590" t="str">
        <f t="shared" si="313"/>
        <v>Gobiomorphus cotidianus</v>
      </c>
      <c r="H2590" t="str">
        <f t="shared" si="315"/>
        <v>Common_bully</v>
      </c>
      <c r="I2590" t="str">
        <f t="shared" si="316"/>
        <v>Toitoi</v>
      </c>
      <c r="J2590" t="str">
        <f t="shared" si="317"/>
        <v>Native</v>
      </c>
      <c r="K2590" t="str">
        <f t="shared" si="318"/>
        <v>No</v>
      </c>
      <c r="O2590">
        <v>553</v>
      </c>
      <c r="S2590">
        <v>2.5</v>
      </c>
      <c r="T2590">
        <f t="shared" si="314"/>
        <v>591.47</v>
      </c>
    </row>
    <row r="2591" spans="1:20" hidden="1" x14ac:dyDescent="0.55000000000000004">
      <c r="A2591">
        <v>12</v>
      </c>
      <c r="B2591" s="15" t="str">
        <f t="shared" si="312"/>
        <v>12_6</v>
      </c>
      <c r="C2591" s="20">
        <v>46231.53125</v>
      </c>
      <c r="D2591" t="s">
        <v>166</v>
      </c>
      <c r="E2591">
        <v>2</v>
      </c>
      <c r="F2591" t="s">
        <v>167</v>
      </c>
      <c r="G2591" t="str">
        <f t="shared" si="313"/>
        <v>Gobiomorphus cotidianus</v>
      </c>
      <c r="H2591" t="str">
        <f t="shared" si="315"/>
        <v>Common_bully</v>
      </c>
      <c r="I2591" t="str">
        <f t="shared" si="316"/>
        <v>Toitoi</v>
      </c>
      <c r="J2591" t="str">
        <f t="shared" si="317"/>
        <v>Native</v>
      </c>
      <c r="K2591" t="str">
        <f t="shared" si="318"/>
        <v>No</v>
      </c>
      <c r="L2591">
        <v>3</v>
      </c>
      <c r="O2591">
        <v>30</v>
      </c>
      <c r="T2591" t="str">
        <f t="shared" si="314"/>
        <v/>
      </c>
    </row>
    <row r="2592" spans="1:20" hidden="1" x14ac:dyDescent="0.55000000000000004">
      <c r="A2592">
        <v>12</v>
      </c>
      <c r="B2592" s="15" t="str">
        <f t="shared" si="312"/>
        <v>12_6</v>
      </c>
      <c r="C2592" s="20">
        <v>46231.53125</v>
      </c>
      <c r="D2592" t="s">
        <v>172</v>
      </c>
      <c r="E2592">
        <v>2</v>
      </c>
      <c r="F2592" t="s">
        <v>182</v>
      </c>
      <c r="G2592" t="str">
        <f t="shared" si="313"/>
        <v>Galaxias brevipinnis</v>
      </c>
      <c r="H2592" t="str">
        <f t="shared" si="315"/>
        <v>Climbing_galaxias</v>
      </c>
      <c r="I2592" t="str">
        <f t="shared" si="316"/>
        <v>Kōaro</v>
      </c>
      <c r="J2592" t="str">
        <f t="shared" si="317"/>
        <v>Native</v>
      </c>
      <c r="K2592" t="str">
        <f t="shared" si="318"/>
        <v>Yes</v>
      </c>
      <c r="L2592">
        <v>12</v>
      </c>
      <c r="O2592">
        <v>106</v>
      </c>
      <c r="T2592" t="str">
        <f t="shared" si="314"/>
        <v/>
      </c>
    </row>
    <row r="2593" spans="1:20" hidden="1" x14ac:dyDescent="0.55000000000000004">
      <c r="A2593">
        <v>12</v>
      </c>
      <c r="B2593" s="15" t="str">
        <f t="shared" si="312"/>
        <v>12_6</v>
      </c>
      <c r="C2593" s="20">
        <v>46231.53125</v>
      </c>
      <c r="D2593" t="s">
        <v>172</v>
      </c>
      <c r="E2593">
        <v>2</v>
      </c>
      <c r="F2593" t="s">
        <v>182</v>
      </c>
      <c r="G2593" t="str">
        <f t="shared" si="313"/>
        <v>Galaxias brevipinnis</v>
      </c>
      <c r="H2593" t="str">
        <f t="shared" si="315"/>
        <v>Climbing_galaxias</v>
      </c>
      <c r="I2593" t="str">
        <f t="shared" si="316"/>
        <v>Kōaro</v>
      </c>
      <c r="J2593" t="str">
        <f t="shared" si="317"/>
        <v>Native</v>
      </c>
      <c r="K2593" t="str">
        <f t="shared" si="318"/>
        <v>Yes</v>
      </c>
      <c r="L2593">
        <v>2</v>
      </c>
      <c r="O2593">
        <v>26</v>
      </c>
      <c r="T2593" t="str">
        <f t="shared" si="314"/>
        <v/>
      </c>
    </row>
    <row r="2594" spans="1:20" hidden="1" x14ac:dyDescent="0.55000000000000004">
      <c r="A2594">
        <v>12</v>
      </c>
      <c r="B2594" s="15" t="str">
        <f t="shared" si="312"/>
        <v>12_6</v>
      </c>
      <c r="C2594" s="20">
        <v>46231.53125</v>
      </c>
      <c r="D2594" t="s">
        <v>172</v>
      </c>
      <c r="E2594">
        <v>2</v>
      </c>
      <c r="F2594" t="s">
        <v>185</v>
      </c>
      <c r="G2594" t="str">
        <f t="shared" si="313"/>
        <v>Oncorhynchus mykiss</v>
      </c>
      <c r="H2594" t="str">
        <f t="shared" si="315"/>
        <v>Rainbow_trout</v>
      </c>
      <c r="I2594" t="str">
        <f t="shared" si="316"/>
        <v>Rainbow_trout</v>
      </c>
      <c r="J2594" t="str">
        <f t="shared" si="317"/>
        <v>Nonnative</v>
      </c>
      <c r="K2594" t="str">
        <f t="shared" si="318"/>
        <v>No</v>
      </c>
      <c r="L2594">
        <v>1</v>
      </c>
      <c r="N2594">
        <v>140</v>
      </c>
      <c r="T2594" t="str">
        <f t="shared" si="314"/>
        <v/>
      </c>
    </row>
    <row r="2595" spans="1:20" x14ac:dyDescent="0.55000000000000004">
      <c r="A2595">
        <v>12</v>
      </c>
      <c r="B2595" s="15" t="str">
        <f t="shared" si="312"/>
        <v>12_6</v>
      </c>
      <c r="C2595" s="20">
        <v>46231.53125</v>
      </c>
      <c r="D2595" t="s">
        <v>172</v>
      </c>
      <c r="E2595">
        <v>2</v>
      </c>
      <c r="F2595" t="s">
        <v>168</v>
      </c>
      <c r="G2595" t="str">
        <f t="shared" si="313"/>
        <v>Paranephrops planifrons</v>
      </c>
      <c r="H2595" t="str">
        <f t="shared" si="315"/>
        <v>Freshwater_crayfish</v>
      </c>
      <c r="I2595" t="str">
        <f t="shared" si="316"/>
        <v>Kōura</v>
      </c>
      <c r="J2595" t="str">
        <f t="shared" si="317"/>
        <v>Native</v>
      </c>
      <c r="K2595" t="str">
        <f t="shared" si="318"/>
        <v>Yes</v>
      </c>
      <c r="L2595">
        <v>1</v>
      </c>
      <c r="M2595" t="s">
        <v>199</v>
      </c>
      <c r="N2595">
        <v>30</v>
      </c>
      <c r="O2595">
        <v>25</v>
      </c>
      <c r="T2595" t="str">
        <f t="shared" si="314"/>
        <v/>
      </c>
    </row>
    <row r="2596" spans="1:20" x14ac:dyDescent="0.55000000000000004">
      <c r="A2596">
        <v>12</v>
      </c>
      <c r="B2596" s="15" t="str">
        <f t="shared" si="312"/>
        <v>12_6</v>
      </c>
      <c r="C2596" s="20">
        <v>46231.53125</v>
      </c>
      <c r="D2596" t="s">
        <v>172</v>
      </c>
      <c r="E2596">
        <v>2</v>
      </c>
      <c r="F2596" t="s">
        <v>168</v>
      </c>
      <c r="G2596" t="str">
        <f t="shared" si="313"/>
        <v>Paranephrops planifrons</v>
      </c>
      <c r="H2596" t="str">
        <f t="shared" si="315"/>
        <v>Freshwater_crayfish</v>
      </c>
      <c r="I2596" t="str">
        <f t="shared" si="316"/>
        <v>Kōura</v>
      </c>
      <c r="J2596" t="str">
        <f t="shared" si="317"/>
        <v>Native</v>
      </c>
      <c r="K2596" t="str">
        <f t="shared" si="318"/>
        <v>Yes</v>
      </c>
      <c r="L2596">
        <v>1</v>
      </c>
      <c r="M2596" t="s">
        <v>199</v>
      </c>
      <c r="N2596">
        <v>34</v>
      </c>
      <c r="O2596">
        <v>31</v>
      </c>
      <c r="T2596" t="str">
        <f t="shared" si="314"/>
        <v/>
      </c>
    </row>
    <row r="2597" spans="1:20" x14ac:dyDescent="0.55000000000000004">
      <c r="A2597">
        <v>12</v>
      </c>
      <c r="B2597" s="15" t="str">
        <f t="shared" si="312"/>
        <v>12_6</v>
      </c>
      <c r="C2597" s="20">
        <v>46231.53125</v>
      </c>
      <c r="D2597" t="s">
        <v>172</v>
      </c>
      <c r="E2597">
        <v>2</v>
      </c>
      <c r="F2597" t="s">
        <v>168</v>
      </c>
      <c r="G2597" t="str">
        <f t="shared" si="313"/>
        <v>Paranephrops planifrons</v>
      </c>
      <c r="H2597" t="str">
        <f t="shared" si="315"/>
        <v>Freshwater_crayfish</v>
      </c>
      <c r="I2597" t="str">
        <f t="shared" si="316"/>
        <v>Kōura</v>
      </c>
      <c r="J2597" t="str">
        <f t="shared" si="317"/>
        <v>Native</v>
      </c>
      <c r="K2597" t="str">
        <f t="shared" si="318"/>
        <v>Yes</v>
      </c>
      <c r="L2597">
        <v>1</v>
      </c>
      <c r="M2597" t="s">
        <v>199</v>
      </c>
      <c r="N2597">
        <v>33</v>
      </c>
      <c r="O2597">
        <v>24</v>
      </c>
      <c r="T2597" t="str">
        <f t="shared" si="314"/>
        <v/>
      </c>
    </row>
    <row r="2598" spans="1:20" hidden="1" x14ac:dyDescent="0.55000000000000004">
      <c r="A2598">
        <v>12</v>
      </c>
      <c r="B2598" s="15" t="str">
        <f t="shared" si="312"/>
        <v>12_6</v>
      </c>
      <c r="C2598" s="20">
        <v>46231.53125</v>
      </c>
      <c r="D2598" t="s">
        <v>172</v>
      </c>
      <c r="E2598">
        <v>2</v>
      </c>
      <c r="F2598" t="s">
        <v>181</v>
      </c>
      <c r="G2598" t="str">
        <f t="shared" si="313"/>
        <v>Retropinna retropinna</v>
      </c>
      <c r="H2598" t="str">
        <f t="shared" si="315"/>
        <v>Common_smelt</v>
      </c>
      <c r="I2598" t="str">
        <f t="shared" si="316"/>
        <v>Common_smelt</v>
      </c>
      <c r="J2598" t="str">
        <f t="shared" si="317"/>
        <v>Native</v>
      </c>
      <c r="K2598" t="str">
        <f t="shared" si="318"/>
        <v>No</v>
      </c>
      <c r="O2598">
        <v>125</v>
      </c>
      <c r="T2598" t="str">
        <f t="shared" si="314"/>
        <v/>
      </c>
    </row>
    <row r="2599" spans="1:20" hidden="1" x14ac:dyDescent="0.55000000000000004">
      <c r="A2599">
        <v>12</v>
      </c>
      <c r="B2599" s="15" t="str">
        <f t="shared" si="312"/>
        <v>12_6</v>
      </c>
      <c r="C2599" s="20">
        <v>46231.53125</v>
      </c>
      <c r="D2599" t="s">
        <v>172</v>
      </c>
      <c r="E2599">
        <v>2</v>
      </c>
      <c r="F2599" t="s">
        <v>167</v>
      </c>
      <c r="G2599" t="str">
        <f t="shared" si="313"/>
        <v>Gobiomorphus cotidianus</v>
      </c>
      <c r="H2599" t="str">
        <f t="shared" si="315"/>
        <v>Common_bully</v>
      </c>
      <c r="I2599" t="str">
        <f t="shared" si="316"/>
        <v>Toitoi</v>
      </c>
      <c r="J2599" t="str">
        <f t="shared" si="317"/>
        <v>Native</v>
      </c>
      <c r="K2599" t="str">
        <f t="shared" si="318"/>
        <v>No</v>
      </c>
      <c r="O2599">
        <v>491</v>
      </c>
      <c r="T2599" t="str">
        <f t="shared" si="314"/>
        <v/>
      </c>
    </row>
    <row r="2600" spans="1:20" hidden="1" x14ac:dyDescent="0.55000000000000004">
      <c r="A2600">
        <v>12</v>
      </c>
      <c r="B2600" s="15" t="str">
        <f t="shared" si="312"/>
        <v>12_6</v>
      </c>
      <c r="C2600" s="20">
        <v>46231.53125</v>
      </c>
      <c r="D2600" t="s">
        <v>172</v>
      </c>
      <c r="E2600">
        <v>2</v>
      </c>
      <c r="F2600" t="s">
        <v>167</v>
      </c>
      <c r="G2600" t="str">
        <f t="shared" si="313"/>
        <v>Gobiomorphus cotidianus</v>
      </c>
      <c r="H2600" t="str">
        <f t="shared" si="315"/>
        <v>Common_bully</v>
      </c>
      <c r="I2600" t="str">
        <f t="shared" si="316"/>
        <v>Toitoi</v>
      </c>
      <c r="J2600" t="str">
        <f t="shared" si="317"/>
        <v>Native</v>
      </c>
      <c r="K2600" t="str">
        <f t="shared" si="318"/>
        <v>No</v>
      </c>
      <c r="O2600">
        <v>539</v>
      </c>
      <c r="T2600" t="str">
        <f t="shared" si="314"/>
        <v/>
      </c>
    </row>
    <row r="2601" spans="1:20" hidden="1" x14ac:dyDescent="0.55000000000000004">
      <c r="A2601">
        <v>12</v>
      </c>
      <c r="B2601" s="15" t="str">
        <f t="shared" si="312"/>
        <v>12_6</v>
      </c>
      <c r="C2601" s="20">
        <v>46231.53125</v>
      </c>
      <c r="D2601" t="s">
        <v>172</v>
      </c>
      <c r="E2601">
        <v>2</v>
      </c>
      <c r="F2601" t="s">
        <v>167</v>
      </c>
      <c r="G2601" t="str">
        <f t="shared" si="313"/>
        <v>Gobiomorphus cotidianus</v>
      </c>
      <c r="H2601" t="str">
        <f t="shared" si="315"/>
        <v>Common_bully</v>
      </c>
      <c r="I2601" t="str">
        <f t="shared" si="316"/>
        <v>Toitoi</v>
      </c>
      <c r="J2601" t="str">
        <f t="shared" si="317"/>
        <v>Native</v>
      </c>
      <c r="K2601" t="str">
        <f t="shared" si="318"/>
        <v>No</v>
      </c>
      <c r="O2601">
        <v>541</v>
      </c>
      <c r="T2601" t="str">
        <f t="shared" si="314"/>
        <v/>
      </c>
    </row>
    <row r="2602" spans="1:20" hidden="1" x14ac:dyDescent="0.55000000000000004">
      <c r="A2602">
        <v>12</v>
      </c>
      <c r="B2602" s="15" t="str">
        <f t="shared" si="312"/>
        <v>12_6</v>
      </c>
      <c r="C2602" s="20">
        <v>46231.53125</v>
      </c>
      <c r="D2602" t="s">
        <v>172</v>
      </c>
      <c r="E2602">
        <v>2</v>
      </c>
      <c r="F2602" t="s">
        <v>167</v>
      </c>
      <c r="G2602" t="str">
        <f t="shared" si="313"/>
        <v>Gobiomorphus cotidianus</v>
      </c>
      <c r="H2602" t="str">
        <f t="shared" si="315"/>
        <v>Common_bully</v>
      </c>
      <c r="I2602" t="str">
        <f t="shared" si="316"/>
        <v>Toitoi</v>
      </c>
      <c r="J2602" t="str">
        <f t="shared" si="317"/>
        <v>Native</v>
      </c>
      <c r="K2602" t="str">
        <f t="shared" si="318"/>
        <v>No</v>
      </c>
      <c r="O2602">
        <v>373</v>
      </c>
      <c r="T2602" t="str">
        <f t="shared" si="314"/>
        <v/>
      </c>
    </row>
    <row r="2603" spans="1:20" hidden="1" x14ac:dyDescent="0.55000000000000004">
      <c r="A2603">
        <v>12</v>
      </c>
      <c r="B2603" s="15" t="str">
        <f t="shared" si="312"/>
        <v>12_6</v>
      </c>
      <c r="C2603" s="20">
        <v>46231.53125</v>
      </c>
      <c r="D2603" t="s">
        <v>172</v>
      </c>
      <c r="E2603">
        <v>2</v>
      </c>
      <c r="F2603" t="s">
        <v>182</v>
      </c>
      <c r="G2603" t="str">
        <f t="shared" si="313"/>
        <v>Galaxias brevipinnis</v>
      </c>
      <c r="H2603" t="str">
        <f t="shared" si="315"/>
        <v>Climbing_galaxias</v>
      </c>
      <c r="I2603" t="str">
        <f t="shared" si="316"/>
        <v>Kōaro</v>
      </c>
      <c r="J2603" t="str">
        <f t="shared" si="317"/>
        <v>Native</v>
      </c>
      <c r="K2603" t="str">
        <f t="shared" si="318"/>
        <v>Yes</v>
      </c>
      <c r="L2603">
        <v>9</v>
      </c>
      <c r="O2603">
        <v>81</v>
      </c>
      <c r="T2603" t="str">
        <f t="shared" si="314"/>
        <v/>
      </c>
    </row>
    <row r="2604" spans="1:20" hidden="1" x14ac:dyDescent="0.55000000000000004">
      <c r="A2604">
        <v>12</v>
      </c>
      <c r="B2604" s="15" t="str">
        <f t="shared" si="312"/>
        <v>12_6</v>
      </c>
      <c r="C2604" s="20">
        <v>46231.53125</v>
      </c>
      <c r="D2604" t="s">
        <v>172</v>
      </c>
      <c r="E2604">
        <v>2</v>
      </c>
      <c r="F2604" t="s">
        <v>167</v>
      </c>
      <c r="G2604" t="str">
        <f t="shared" si="313"/>
        <v>Gobiomorphus cotidianus</v>
      </c>
      <c r="H2604" t="str">
        <f t="shared" si="315"/>
        <v>Common_bully</v>
      </c>
      <c r="I2604" t="str">
        <f t="shared" si="316"/>
        <v>Toitoi</v>
      </c>
      <c r="J2604" t="str">
        <f t="shared" si="317"/>
        <v>Native</v>
      </c>
      <c r="K2604" t="str">
        <f t="shared" si="318"/>
        <v>No</v>
      </c>
      <c r="O2604">
        <v>178</v>
      </c>
      <c r="T2604" t="str">
        <f t="shared" si="314"/>
        <v/>
      </c>
    </row>
    <row r="2605" spans="1:20" hidden="1" x14ac:dyDescent="0.55000000000000004">
      <c r="A2605">
        <v>13</v>
      </c>
      <c r="B2605" s="15" t="str">
        <f t="shared" si="312"/>
        <v>13_6</v>
      </c>
      <c r="C2605" s="20">
        <v>46231.402777777781</v>
      </c>
      <c r="D2605" t="s">
        <v>166</v>
      </c>
      <c r="E2605">
        <v>2</v>
      </c>
      <c r="G2605" t="e">
        <f t="shared" si="313"/>
        <v>#N/A</v>
      </c>
      <c r="H2605" t="e">
        <f t="shared" si="315"/>
        <v>#N/A</v>
      </c>
      <c r="I2605" t="e">
        <f t="shared" si="316"/>
        <v>#N/A</v>
      </c>
      <c r="J2605" t="e">
        <f t="shared" si="317"/>
        <v>#N/A</v>
      </c>
      <c r="K2605" t="e">
        <f t="shared" si="318"/>
        <v>#N/A</v>
      </c>
      <c r="T2605" t="str">
        <f t="shared" si="314"/>
        <v/>
      </c>
    </row>
    <row r="2606" spans="1:20" hidden="1" x14ac:dyDescent="0.55000000000000004">
      <c r="A2606">
        <v>13</v>
      </c>
      <c r="B2606" s="15" t="str">
        <f t="shared" si="312"/>
        <v>13_6</v>
      </c>
      <c r="C2606" s="20">
        <v>46231.402777777781</v>
      </c>
      <c r="D2606" t="s">
        <v>172</v>
      </c>
      <c r="E2606">
        <v>2</v>
      </c>
      <c r="F2606" t="s">
        <v>181</v>
      </c>
      <c r="G2606" t="str">
        <f t="shared" si="313"/>
        <v>Retropinna retropinna</v>
      </c>
      <c r="H2606" t="str">
        <f t="shared" si="315"/>
        <v>Common_smelt</v>
      </c>
      <c r="I2606" t="str">
        <f t="shared" si="316"/>
        <v>Common_smelt</v>
      </c>
      <c r="J2606" t="str">
        <f t="shared" si="317"/>
        <v>Native</v>
      </c>
      <c r="K2606" t="str">
        <f t="shared" si="318"/>
        <v>No</v>
      </c>
      <c r="L2606">
        <v>1</v>
      </c>
      <c r="O2606">
        <v>19</v>
      </c>
      <c r="T2606" t="str">
        <f t="shared" si="314"/>
        <v/>
      </c>
    </row>
    <row r="2607" spans="1:20" hidden="1" x14ac:dyDescent="0.55000000000000004">
      <c r="A2607">
        <v>13</v>
      </c>
      <c r="B2607" s="15" t="str">
        <f t="shared" si="312"/>
        <v>13_6</v>
      </c>
      <c r="C2607" s="20">
        <v>46231.402777777781</v>
      </c>
      <c r="D2607" t="s">
        <v>172</v>
      </c>
      <c r="E2607">
        <v>2</v>
      </c>
      <c r="F2607" t="s">
        <v>182</v>
      </c>
      <c r="G2607" t="str">
        <f t="shared" si="313"/>
        <v>Galaxias brevipinnis</v>
      </c>
      <c r="H2607" t="str">
        <f t="shared" si="315"/>
        <v>Climbing_galaxias</v>
      </c>
      <c r="I2607" t="str">
        <f t="shared" si="316"/>
        <v>Kōaro</v>
      </c>
      <c r="J2607" t="str">
        <f t="shared" si="317"/>
        <v>Native</v>
      </c>
      <c r="K2607" t="str">
        <f t="shared" si="318"/>
        <v>Yes</v>
      </c>
      <c r="L2607">
        <v>1</v>
      </c>
      <c r="N2607">
        <v>110</v>
      </c>
      <c r="O2607">
        <v>14</v>
      </c>
      <c r="T2607" t="str">
        <f t="shared" si="314"/>
        <v/>
      </c>
    </row>
    <row r="2608" spans="1:20" hidden="1" x14ac:dyDescent="0.55000000000000004">
      <c r="A2608">
        <v>13</v>
      </c>
      <c r="B2608" s="15" t="str">
        <f t="shared" si="312"/>
        <v>13_6</v>
      </c>
      <c r="C2608" s="20">
        <v>46231.402777777781</v>
      </c>
      <c r="D2608" t="s">
        <v>172</v>
      </c>
      <c r="E2608">
        <v>2</v>
      </c>
      <c r="F2608" t="s">
        <v>182</v>
      </c>
      <c r="G2608" t="str">
        <f t="shared" si="313"/>
        <v>Galaxias brevipinnis</v>
      </c>
      <c r="H2608" t="str">
        <f t="shared" si="315"/>
        <v>Climbing_galaxias</v>
      </c>
      <c r="I2608" t="str">
        <f t="shared" si="316"/>
        <v>Kōaro</v>
      </c>
      <c r="J2608" t="str">
        <f t="shared" si="317"/>
        <v>Native</v>
      </c>
      <c r="K2608" t="str">
        <f t="shared" si="318"/>
        <v>Yes</v>
      </c>
      <c r="L2608">
        <v>1</v>
      </c>
      <c r="N2608">
        <v>105</v>
      </c>
      <c r="O2608">
        <v>13</v>
      </c>
      <c r="T2608" t="str">
        <f t="shared" si="314"/>
        <v/>
      </c>
    </row>
    <row r="2609" spans="1:20" hidden="1" x14ac:dyDescent="0.55000000000000004">
      <c r="A2609">
        <v>13</v>
      </c>
      <c r="B2609" s="15" t="str">
        <f t="shared" ref="B2609:B2672" si="319">A2609 &amp; "_6"</f>
        <v>13_6</v>
      </c>
      <c r="C2609" s="20">
        <v>46231.402777777781</v>
      </c>
      <c r="D2609" t="s">
        <v>172</v>
      </c>
      <c r="E2609">
        <v>2</v>
      </c>
      <c r="F2609" t="s">
        <v>182</v>
      </c>
      <c r="G2609" t="str">
        <f t="shared" si="313"/>
        <v>Galaxias brevipinnis</v>
      </c>
      <c r="H2609" t="str">
        <f t="shared" si="315"/>
        <v>Climbing_galaxias</v>
      </c>
      <c r="I2609" t="str">
        <f t="shared" si="316"/>
        <v>Kōaro</v>
      </c>
      <c r="J2609" t="str">
        <f t="shared" si="317"/>
        <v>Native</v>
      </c>
      <c r="K2609" t="str">
        <f t="shared" si="318"/>
        <v>Yes</v>
      </c>
      <c r="L2609">
        <v>1</v>
      </c>
      <c r="N2609">
        <v>60</v>
      </c>
      <c r="O2609">
        <v>1</v>
      </c>
      <c r="T2609" t="str">
        <f t="shared" si="314"/>
        <v/>
      </c>
    </row>
    <row r="2610" spans="1:20" hidden="1" x14ac:dyDescent="0.55000000000000004">
      <c r="A2610">
        <v>13</v>
      </c>
      <c r="B2610" s="15" t="str">
        <f t="shared" si="319"/>
        <v>13_6</v>
      </c>
      <c r="C2610" s="20">
        <v>46231.402777777781</v>
      </c>
      <c r="D2610" t="s">
        <v>172</v>
      </c>
      <c r="E2610">
        <v>2</v>
      </c>
      <c r="F2610" t="s">
        <v>178</v>
      </c>
      <c r="G2610" t="str">
        <f t="shared" si="313"/>
        <v>Carassius auratus</v>
      </c>
      <c r="H2610" t="str">
        <f t="shared" si="315"/>
        <v>Goldfish</v>
      </c>
      <c r="I2610" t="str">
        <f t="shared" si="316"/>
        <v>Morihana</v>
      </c>
      <c r="J2610" t="str">
        <f t="shared" si="317"/>
        <v>Nonnative</v>
      </c>
      <c r="K2610" t="str">
        <f t="shared" si="318"/>
        <v>No</v>
      </c>
      <c r="L2610">
        <v>1</v>
      </c>
      <c r="N2610">
        <v>40</v>
      </c>
      <c r="O2610">
        <v>2</v>
      </c>
    </row>
    <row r="2611" spans="1:20" hidden="1" x14ac:dyDescent="0.55000000000000004">
      <c r="A2611">
        <v>13</v>
      </c>
      <c r="B2611" s="15" t="str">
        <f t="shared" si="319"/>
        <v>13_6</v>
      </c>
      <c r="C2611" s="20">
        <v>46231.402777777781</v>
      </c>
      <c r="D2611" t="s">
        <v>172</v>
      </c>
      <c r="E2611">
        <v>2</v>
      </c>
      <c r="F2611" t="s">
        <v>167</v>
      </c>
      <c r="G2611" t="str">
        <f t="shared" si="313"/>
        <v>Gobiomorphus cotidianus</v>
      </c>
      <c r="H2611" t="str">
        <f t="shared" si="315"/>
        <v>Common_bully</v>
      </c>
      <c r="I2611" t="str">
        <f t="shared" si="316"/>
        <v>Toitoi</v>
      </c>
      <c r="J2611" t="str">
        <f t="shared" si="317"/>
        <v>Native</v>
      </c>
      <c r="K2611" t="str">
        <f t="shared" si="318"/>
        <v>No</v>
      </c>
      <c r="O2611">
        <v>541</v>
      </c>
      <c r="S2611">
        <v>2.5</v>
      </c>
      <c r="T2611">
        <f>IF(S2611&lt;&gt;"", S2611*236.588, "")</f>
        <v>591.47</v>
      </c>
    </row>
    <row r="2612" spans="1:20" hidden="1" x14ac:dyDescent="0.55000000000000004">
      <c r="A2612">
        <v>13</v>
      </c>
      <c r="B2612" s="15" t="str">
        <f t="shared" si="319"/>
        <v>13_6</v>
      </c>
      <c r="C2612" s="20">
        <v>46231.402777777781</v>
      </c>
      <c r="D2612" t="s">
        <v>172</v>
      </c>
      <c r="E2612">
        <v>2</v>
      </c>
      <c r="F2612" t="s">
        <v>167</v>
      </c>
      <c r="G2612" t="str">
        <f t="shared" si="313"/>
        <v>Gobiomorphus cotidianus</v>
      </c>
      <c r="H2612" t="str">
        <f t="shared" si="315"/>
        <v>Common_bully</v>
      </c>
      <c r="I2612" t="str">
        <f t="shared" si="316"/>
        <v>Toitoi</v>
      </c>
      <c r="J2612" t="str">
        <f t="shared" si="317"/>
        <v>Native</v>
      </c>
      <c r="K2612" t="str">
        <f t="shared" si="318"/>
        <v>No</v>
      </c>
      <c r="O2612">
        <v>315</v>
      </c>
      <c r="S2612">
        <v>1.5</v>
      </c>
      <c r="T2612">
        <f>IF(S2612&lt;&gt;"", S2612*236.588, "")</f>
        <v>354.88200000000001</v>
      </c>
    </row>
    <row r="2613" spans="1:20" hidden="1" x14ac:dyDescent="0.55000000000000004">
      <c r="A2613">
        <v>14</v>
      </c>
      <c r="B2613" s="15" t="str">
        <f t="shared" si="319"/>
        <v>14_6</v>
      </c>
      <c r="C2613" s="20">
        <v>46231.413194444445</v>
      </c>
      <c r="D2613" t="s">
        <v>166</v>
      </c>
      <c r="E2613">
        <v>2</v>
      </c>
      <c r="F2613" t="s">
        <v>167</v>
      </c>
      <c r="G2613" t="str">
        <f t="shared" si="313"/>
        <v>Gobiomorphus cotidianus</v>
      </c>
      <c r="H2613" t="str">
        <f t="shared" si="315"/>
        <v>Common_bully</v>
      </c>
      <c r="I2613" t="str">
        <f t="shared" si="316"/>
        <v>Toitoi</v>
      </c>
      <c r="J2613" t="str">
        <f t="shared" si="317"/>
        <v>Native</v>
      </c>
      <c r="K2613" t="str">
        <f t="shared" si="318"/>
        <v>No</v>
      </c>
      <c r="L2613">
        <v>9</v>
      </c>
      <c r="O2613">
        <v>19</v>
      </c>
      <c r="T2613" t="str">
        <f t="shared" si="314"/>
        <v/>
      </c>
    </row>
    <row r="2614" spans="1:20" x14ac:dyDescent="0.55000000000000004">
      <c r="A2614">
        <v>14</v>
      </c>
      <c r="B2614" s="15" t="str">
        <f t="shared" si="319"/>
        <v>14_6</v>
      </c>
      <c r="C2614" s="20">
        <v>46231.413194444445</v>
      </c>
      <c r="D2614" t="s">
        <v>172</v>
      </c>
      <c r="E2614">
        <v>2</v>
      </c>
      <c r="F2614" t="s">
        <v>168</v>
      </c>
      <c r="G2614" t="str">
        <f t="shared" ref="G2614:G2677" si="320">VLOOKUP($F2614, $W$1:$AB$10, 2, FALSE)</f>
        <v>Paranephrops planifrons</v>
      </c>
      <c r="H2614" t="str">
        <f t="shared" si="315"/>
        <v>Freshwater_crayfish</v>
      </c>
      <c r="I2614" t="str">
        <f t="shared" si="316"/>
        <v>Kōura</v>
      </c>
      <c r="J2614" t="str">
        <f t="shared" si="317"/>
        <v>Native</v>
      </c>
      <c r="K2614" t="str">
        <f t="shared" si="318"/>
        <v>Yes</v>
      </c>
      <c r="L2614">
        <v>1</v>
      </c>
      <c r="M2614" t="s">
        <v>199</v>
      </c>
      <c r="N2614">
        <v>28</v>
      </c>
      <c r="O2614">
        <v>19</v>
      </c>
      <c r="T2614" t="str">
        <f t="shared" si="314"/>
        <v/>
      </c>
    </row>
    <row r="2615" spans="1:20" hidden="1" x14ac:dyDescent="0.55000000000000004">
      <c r="A2615">
        <v>14</v>
      </c>
      <c r="B2615" s="15" t="str">
        <f t="shared" si="319"/>
        <v>14_6</v>
      </c>
      <c r="C2615" s="20">
        <v>46231.413194444445</v>
      </c>
      <c r="D2615" t="s">
        <v>172</v>
      </c>
      <c r="E2615">
        <v>2</v>
      </c>
      <c r="F2615" t="s">
        <v>178</v>
      </c>
      <c r="G2615" t="str">
        <f t="shared" si="320"/>
        <v>Carassius auratus</v>
      </c>
      <c r="H2615" t="str">
        <f t="shared" si="315"/>
        <v>Goldfish</v>
      </c>
      <c r="I2615" t="str">
        <f t="shared" si="316"/>
        <v>Morihana</v>
      </c>
      <c r="J2615" t="str">
        <f t="shared" si="317"/>
        <v>Nonnative</v>
      </c>
      <c r="K2615" t="str">
        <f t="shared" si="318"/>
        <v>No</v>
      </c>
      <c r="L2615">
        <v>1</v>
      </c>
      <c r="N2615">
        <v>4</v>
      </c>
      <c r="O2615">
        <v>1</v>
      </c>
      <c r="T2615" t="str">
        <f t="shared" si="314"/>
        <v/>
      </c>
    </row>
    <row r="2616" spans="1:20" hidden="1" x14ac:dyDescent="0.55000000000000004">
      <c r="A2616">
        <v>14</v>
      </c>
      <c r="B2616" s="15" t="str">
        <f t="shared" si="319"/>
        <v>14_6</v>
      </c>
      <c r="C2616" s="20">
        <v>46231.413194444445</v>
      </c>
      <c r="D2616" t="s">
        <v>172</v>
      </c>
      <c r="E2616">
        <v>2</v>
      </c>
      <c r="F2616" t="s">
        <v>181</v>
      </c>
      <c r="G2616" t="str">
        <f t="shared" si="320"/>
        <v>Retropinna retropinna</v>
      </c>
      <c r="H2616" t="str">
        <f t="shared" si="315"/>
        <v>Common_smelt</v>
      </c>
      <c r="I2616" t="str">
        <f t="shared" si="316"/>
        <v>Common_smelt</v>
      </c>
      <c r="J2616" t="str">
        <f t="shared" si="317"/>
        <v>Native</v>
      </c>
      <c r="K2616" t="str">
        <f t="shared" si="318"/>
        <v>No</v>
      </c>
      <c r="L2616">
        <v>20</v>
      </c>
      <c r="O2616">
        <v>15</v>
      </c>
      <c r="T2616" t="str">
        <f t="shared" si="314"/>
        <v/>
      </c>
    </row>
    <row r="2617" spans="1:20" hidden="1" x14ac:dyDescent="0.55000000000000004">
      <c r="A2617">
        <v>14</v>
      </c>
      <c r="B2617" s="15" t="str">
        <f t="shared" si="319"/>
        <v>14_6</v>
      </c>
      <c r="C2617" s="20">
        <v>46231.413194444445</v>
      </c>
      <c r="D2617" t="s">
        <v>172</v>
      </c>
      <c r="E2617">
        <v>2</v>
      </c>
      <c r="F2617" t="s">
        <v>167</v>
      </c>
      <c r="G2617" t="str">
        <f t="shared" si="320"/>
        <v>Gobiomorphus cotidianus</v>
      </c>
      <c r="H2617" t="str">
        <f t="shared" si="315"/>
        <v>Common_bully</v>
      </c>
      <c r="I2617" t="str">
        <f t="shared" si="316"/>
        <v>Toitoi</v>
      </c>
      <c r="J2617" t="str">
        <f t="shared" si="317"/>
        <v>Native</v>
      </c>
      <c r="K2617" t="str">
        <f t="shared" si="318"/>
        <v>No</v>
      </c>
      <c r="O2617">
        <v>413</v>
      </c>
      <c r="S2617">
        <v>2</v>
      </c>
      <c r="T2617">
        <f t="shared" si="314"/>
        <v>473.17599999999999</v>
      </c>
    </row>
    <row r="2618" spans="1:20" hidden="1" x14ac:dyDescent="0.55000000000000004">
      <c r="A2618">
        <v>14</v>
      </c>
      <c r="B2618" s="15" t="str">
        <f t="shared" si="319"/>
        <v>14_6</v>
      </c>
      <c r="C2618" s="20">
        <v>46231.413194444445</v>
      </c>
      <c r="D2618" t="s">
        <v>172</v>
      </c>
      <c r="E2618">
        <v>2</v>
      </c>
      <c r="F2618" t="s">
        <v>182</v>
      </c>
      <c r="G2618" t="str">
        <f t="shared" si="320"/>
        <v>Galaxias brevipinnis</v>
      </c>
      <c r="H2618" t="str">
        <f t="shared" si="315"/>
        <v>Climbing_galaxias</v>
      </c>
      <c r="I2618" t="str">
        <f t="shared" si="316"/>
        <v>Kōaro</v>
      </c>
      <c r="J2618" t="str">
        <f t="shared" si="317"/>
        <v>Native</v>
      </c>
      <c r="K2618" t="str">
        <f t="shared" si="318"/>
        <v>Yes</v>
      </c>
      <c r="L2618">
        <v>1</v>
      </c>
      <c r="N2618">
        <v>50</v>
      </c>
      <c r="O2618">
        <v>1</v>
      </c>
      <c r="T2618" t="str">
        <f t="shared" si="314"/>
        <v/>
      </c>
    </row>
    <row r="2619" spans="1:20" hidden="1" x14ac:dyDescent="0.55000000000000004">
      <c r="A2619">
        <v>14</v>
      </c>
      <c r="B2619" s="15" t="str">
        <f t="shared" si="319"/>
        <v>14_6</v>
      </c>
      <c r="C2619" s="20">
        <v>46231.413194444445</v>
      </c>
      <c r="D2619" t="s">
        <v>172</v>
      </c>
      <c r="E2619">
        <v>2</v>
      </c>
      <c r="F2619" t="s">
        <v>167</v>
      </c>
      <c r="G2619" t="str">
        <f t="shared" si="320"/>
        <v>Gobiomorphus cotidianus</v>
      </c>
      <c r="H2619" t="str">
        <f t="shared" si="315"/>
        <v>Common_bully</v>
      </c>
      <c r="I2619" t="str">
        <f t="shared" si="316"/>
        <v>Toitoi</v>
      </c>
      <c r="J2619" t="str">
        <f t="shared" si="317"/>
        <v>Native</v>
      </c>
      <c r="K2619" t="str">
        <f t="shared" si="318"/>
        <v>No</v>
      </c>
      <c r="O2619">
        <v>117</v>
      </c>
      <c r="S2619">
        <v>0.5</v>
      </c>
      <c r="T2619">
        <f t="shared" si="314"/>
        <v>118.294</v>
      </c>
    </row>
    <row r="2620" spans="1:20" hidden="1" x14ac:dyDescent="0.55000000000000004">
      <c r="A2620">
        <v>15</v>
      </c>
      <c r="B2620" s="15" t="str">
        <f t="shared" si="319"/>
        <v>15_6</v>
      </c>
      <c r="C2620" s="20">
        <v>46231.381944444445</v>
      </c>
      <c r="D2620" t="s">
        <v>166</v>
      </c>
      <c r="E2620">
        <v>2</v>
      </c>
      <c r="F2620" t="s">
        <v>167</v>
      </c>
      <c r="G2620" t="str">
        <f t="shared" si="320"/>
        <v>Gobiomorphus cotidianus</v>
      </c>
      <c r="H2620" t="str">
        <f t="shared" si="315"/>
        <v>Common_bully</v>
      </c>
      <c r="I2620" t="str">
        <f t="shared" si="316"/>
        <v>Toitoi</v>
      </c>
      <c r="J2620" t="str">
        <f t="shared" si="317"/>
        <v>Native</v>
      </c>
      <c r="K2620" t="str">
        <f t="shared" si="318"/>
        <v>No</v>
      </c>
      <c r="L2620">
        <v>4</v>
      </c>
      <c r="O2620">
        <v>8</v>
      </c>
      <c r="T2620" t="str">
        <f t="shared" si="314"/>
        <v/>
      </c>
    </row>
    <row r="2621" spans="1:20" hidden="1" x14ac:dyDescent="0.55000000000000004">
      <c r="A2621">
        <v>15</v>
      </c>
      <c r="B2621" s="15" t="str">
        <f t="shared" si="319"/>
        <v>15_6</v>
      </c>
      <c r="C2621" s="20">
        <v>46231.381944444445</v>
      </c>
      <c r="D2621" t="s">
        <v>172</v>
      </c>
      <c r="E2621">
        <v>2</v>
      </c>
      <c r="F2621" t="s">
        <v>178</v>
      </c>
      <c r="G2621" t="str">
        <f t="shared" si="320"/>
        <v>Carassius auratus</v>
      </c>
      <c r="H2621" t="str">
        <f t="shared" si="315"/>
        <v>Goldfish</v>
      </c>
      <c r="I2621" t="str">
        <f t="shared" si="316"/>
        <v>Morihana</v>
      </c>
      <c r="J2621" t="str">
        <f t="shared" si="317"/>
        <v>Nonnative</v>
      </c>
      <c r="K2621" t="str">
        <f t="shared" si="318"/>
        <v>No</v>
      </c>
      <c r="L2621">
        <v>2</v>
      </c>
      <c r="T2621" t="str">
        <f t="shared" si="314"/>
        <v/>
      </c>
    </row>
    <row r="2622" spans="1:20" hidden="1" x14ac:dyDescent="0.55000000000000004">
      <c r="A2622">
        <v>15</v>
      </c>
      <c r="B2622" s="15" t="str">
        <f t="shared" si="319"/>
        <v>15_6</v>
      </c>
      <c r="C2622" s="20">
        <v>46231.381944444445</v>
      </c>
      <c r="D2622" t="s">
        <v>172</v>
      </c>
      <c r="E2622">
        <v>2</v>
      </c>
      <c r="F2622" t="s">
        <v>182</v>
      </c>
      <c r="G2622" t="str">
        <f t="shared" si="320"/>
        <v>Galaxias brevipinnis</v>
      </c>
      <c r="H2622" t="str">
        <f t="shared" si="315"/>
        <v>Climbing_galaxias</v>
      </c>
      <c r="I2622" t="str">
        <f t="shared" si="316"/>
        <v>Kōaro</v>
      </c>
      <c r="J2622" t="str">
        <f t="shared" si="317"/>
        <v>Native</v>
      </c>
      <c r="K2622" t="str">
        <f t="shared" si="318"/>
        <v>Yes</v>
      </c>
      <c r="L2622">
        <v>1</v>
      </c>
      <c r="N2622">
        <v>85</v>
      </c>
      <c r="O2622">
        <v>5</v>
      </c>
      <c r="T2622" t="str">
        <f t="shared" si="314"/>
        <v/>
      </c>
    </row>
    <row r="2623" spans="1:20" hidden="1" x14ac:dyDescent="0.55000000000000004">
      <c r="A2623">
        <v>15</v>
      </c>
      <c r="B2623" s="15" t="str">
        <f t="shared" si="319"/>
        <v>15_6</v>
      </c>
      <c r="C2623" s="20">
        <v>46231.381944444445</v>
      </c>
      <c r="D2623" t="s">
        <v>172</v>
      </c>
      <c r="E2623">
        <v>2</v>
      </c>
      <c r="F2623" t="s">
        <v>182</v>
      </c>
      <c r="G2623" t="str">
        <f t="shared" si="320"/>
        <v>Galaxias brevipinnis</v>
      </c>
      <c r="H2623" t="str">
        <f t="shared" si="315"/>
        <v>Climbing_galaxias</v>
      </c>
      <c r="I2623" t="str">
        <f t="shared" si="316"/>
        <v>Kōaro</v>
      </c>
      <c r="J2623" t="str">
        <f t="shared" si="317"/>
        <v>Native</v>
      </c>
      <c r="K2623" t="str">
        <f t="shared" si="318"/>
        <v>Yes</v>
      </c>
      <c r="L2623">
        <v>1</v>
      </c>
      <c r="N2623">
        <v>55</v>
      </c>
      <c r="O2623">
        <v>3</v>
      </c>
      <c r="T2623" t="str">
        <f t="shared" si="314"/>
        <v/>
      </c>
    </row>
    <row r="2624" spans="1:20" hidden="1" x14ac:dyDescent="0.55000000000000004">
      <c r="A2624">
        <v>15</v>
      </c>
      <c r="B2624" s="15" t="str">
        <f t="shared" si="319"/>
        <v>15_6</v>
      </c>
      <c r="C2624" s="20">
        <v>46231.381944444445</v>
      </c>
      <c r="D2624" t="s">
        <v>172</v>
      </c>
      <c r="E2624">
        <v>2</v>
      </c>
      <c r="F2624" t="s">
        <v>181</v>
      </c>
      <c r="G2624" t="str">
        <f t="shared" si="320"/>
        <v>Retropinna retropinna</v>
      </c>
      <c r="H2624" t="str">
        <f t="shared" si="315"/>
        <v>Common_smelt</v>
      </c>
      <c r="I2624" t="str">
        <f t="shared" si="316"/>
        <v>Common_smelt</v>
      </c>
      <c r="J2624" t="str">
        <f t="shared" si="317"/>
        <v>Native</v>
      </c>
      <c r="K2624" t="str">
        <f t="shared" si="318"/>
        <v>No</v>
      </c>
      <c r="O2624">
        <v>64</v>
      </c>
      <c r="T2624" t="str">
        <f t="shared" si="314"/>
        <v/>
      </c>
    </row>
    <row r="2625" spans="1:20" hidden="1" x14ac:dyDescent="0.55000000000000004">
      <c r="A2625">
        <v>15</v>
      </c>
      <c r="B2625" s="15" t="str">
        <f t="shared" si="319"/>
        <v>15_6</v>
      </c>
      <c r="C2625" s="20">
        <v>46231.381944444445</v>
      </c>
      <c r="D2625" t="s">
        <v>172</v>
      </c>
      <c r="E2625">
        <v>2</v>
      </c>
      <c r="F2625" t="s">
        <v>167</v>
      </c>
      <c r="G2625" t="str">
        <f t="shared" si="320"/>
        <v>Gobiomorphus cotidianus</v>
      </c>
      <c r="H2625" t="str">
        <f t="shared" si="315"/>
        <v>Common_bully</v>
      </c>
      <c r="I2625" t="str">
        <f t="shared" si="316"/>
        <v>Toitoi</v>
      </c>
      <c r="J2625" t="str">
        <f t="shared" si="317"/>
        <v>Native</v>
      </c>
      <c r="K2625" t="str">
        <f t="shared" si="318"/>
        <v>No</v>
      </c>
      <c r="O2625">
        <v>184</v>
      </c>
      <c r="T2625" t="str">
        <f t="shared" si="314"/>
        <v/>
      </c>
    </row>
    <row r="2626" spans="1:20" hidden="1" x14ac:dyDescent="0.55000000000000004">
      <c r="A2626">
        <v>15</v>
      </c>
      <c r="B2626" s="15" t="str">
        <f t="shared" si="319"/>
        <v>15_6</v>
      </c>
      <c r="C2626" s="20">
        <v>46231.381944444445</v>
      </c>
      <c r="D2626" t="s">
        <v>172</v>
      </c>
      <c r="E2626">
        <v>2</v>
      </c>
      <c r="F2626" t="s">
        <v>182</v>
      </c>
      <c r="G2626" t="str">
        <f t="shared" si="320"/>
        <v>Galaxias brevipinnis</v>
      </c>
      <c r="H2626" t="str">
        <f t="shared" si="315"/>
        <v>Climbing_galaxias</v>
      </c>
      <c r="I2626" t="str">
        <f t="shared" si="316"/>
        <v>Kōaro</v>
      </c>
      <c r="J2626" t="str">
        <f t="shared" si="317"/>
        <v>Native</v>
      </c>
      <c r="K2626" t="str">
        <f t="shared" si="318"/>
        <v>Yes</v>
      </c>
      <c r="L2626">
        <v>1</v>
      </c>
      <c r="N2626">
        <v>74</v>
      </c>
      <c r="O2626">
        <v>4</v>
      </c>
      <c r="T2626" t="str">
        <f t="shared" si="314"/>
        <v/>
      </c>
    </row>
    <row r="2627" spans="1:20" hidden="1" x14ac:dyDescent="0.55000000000000004">
      <c r="A2627">
        <v>15</v>
      </c>
      <c r="B2627" s="15" t="str">
        <f t="shared" si="319"/>
        <v>15_6</v>
      </c>
      <c r="C2627" s="20">
        <v>46231.381944444445</v>
      </c>
      <c r="D2627" t="s">
        <v>172</v>
      </c>
      <c r="E2627">
        <v>2</v>
      </c>
      <c r="F2627" t="s">
        <v>182</v>
      </c>
      <c r="G2627" t="str">
        <f t="shared" si="320"/>
        <v>Galaxias brevipinnis</v>
      </c>
      <c r="H2627" t="str">
        <f t="shared" si="315"/>
        <v>Climbing_galaxias</v>
      </c>
      <c r="I2627" t="str">
        <f t="shared" si="316"/>
        <v>Kōaro</v>
      </c>
      <c r="J2627" t="str">
        <f t="shared" si="317"/>
        <v>Native</v>
      </c>
      <c r="K2627" t="str">
        <f t="shared" si="318"/>
        <v>Yes</v>
      </c>
      <c r="L2627">
        <v>1</v>
      </c>
      <c r="N2627">
        <v>60</v>
      </c>
      <c r="O2627">
        <v>3</v>
      </c>
      <c r="T2627" t="str">
        <f t="shared" si="314"/>
        <v/>
      </c>
    </row>
    <row r="2628" spans="1:20" hidden="1" x14ac:dyDescent="0.55000000000000004">
      <c r="A2628">
        <v>15</v>
      </c>
      <c r="B2628" s="15" t="str">
        <f t="shared" si="319"/>
        <v>15_6</v>
      </c>
      <c r="C2628" s="20">
        <v>46231.381944444445</v>
      </c>
      <c r="D2628" t="s">
        <v>172</v>
      </c>
      <c r="E2628">
        <v>2</v>
      </c>
      <c r="F2628" t="s">
        <v>182</v>
      </c>
      <c r="G2628" t="str">
        <f t="shared" si="320"/>
        <v>Galaxias brevipinnis</v>
      </c>
      <c r="H2628" t="str">
        <f t="shared" si="315"/>
        <v>Climbing_galaxias</v>
      </c>
      <c r="I2628" t="str">
        <f t="shared" si="316"/>
        <v>Kōaro</v>
      </c>
      <c r="J2628" t="str">
        <f t="shared" si="317"/>
        <v>Native</v>
      </c>
      <c r="K2628" t="str">
        <f t="shared" si="318"/>
        <v>Yes</v>
      </c>
      <c r="L2628">
        <v>1</v>
      </c>
      <c r="N2628">
        <v>54</v>
      </c>
      <c r="O2628">
        <v>1</v>
      </c>
      <c r="T2628" t="str">
        <f t="shared" ref="T2628:T2691" si="321">IF(S2628&lt;&gt;"", S2628*236.588, "")</f>
        <v/>
      </c>
    </row>
    <row r="2629" spans="1:20" hidden="1" x14ac:dyDescent="0.55000000000000004">
      <c r="A2629">
        <v>16</v>
      </c>
      <c r="B2629" s="15" t="str">
        <f t="shared" si="319"/>
        <v>16_6</v>
      </c>
      <c r="C2629" s="20">
        <v>46231.388888888891</v>
      </c>
      <c r="D2629" t="s">
        <v>166</v>
      </c>
      <c r="E2629">
        <v>2</v>
      </c>
      <c r="F2629" t="s">
        <v>167</v>
      </c>
      <c r="G2629" t="str">
        <f t="shared" si="320"/>
        <v>Gobiomorphus cotidianus</v>
      </c>
      <c r="H2629" t="str">
        <f t="shared" si="315"/>
        <v>Common_bully</v>
      </c>
      <c r="I2629" t="str">
        <f t="shared" si="316"/>
        <v>Toitoi</v>
      </c>
      <c r="J2629" t="str">
        <f t="shared" si="317"/>
        <v>Native</v>
      </c>
      <c r="K2629" t="str">
        <f t="shared" si="318"/>
        <v>No</v>
      </c>
      <c r="L2629">
        <v>1</v>
      </c>
      <c r="T2629" t="str">
        <f t="shared" si="321"/>
        <v/>
      </c>
    </row>
    <row r="2630" spans="1:20" hidden="1" x14ac:dyDescent="0.55000000000000004">
      <c r="A2630">
        <v>16</v>
      </c>
      <c r="B2630" s="15" t="str">
        <f t="shared" si="319"/>
        <v>16_6</v>
      </c>
      <c r="C2630" s="20">
        <v>46231.388888888891</v>
      </c>
      <c r="D2630" t="s">
        <v>172</v>
      </c>
      <c r="E2630">
        <v>2</v>
      </c>
      <c r="F2630" t="s">
        <v>178</v>
      </c>
      <c r="G2630" t="str">
        <f t="shared" si="320"/>
        <v>Carassius auratus</v>
      </c>
      <c r="H2630" t="str">
        <f t="shared" si="315"/>
        <v>Goldfish</v>
      </c>
      <c r="I2630" t="str">
        <f t="shared" si="316"/>
        <v>Morihana</v>
      </c>
      <c r="J2630" t="str">
        <f t="shared" si="317"/>
        <v>Nonnative</v>
      </c>
      <c r="K2630" t="str">
        <f t="shared" si="318"/>
        <v>No</v>
      </c>
      <c r="L2630">
        <v>1</v>
      </c>
      <c r="N2630">
        <v>70</v>
      </c>
      <c r="O2630">
        <v>8</v>
      </c>
      <c r="T2630" t="str">
        <f t="shared" si="321"/>
        <v/>
      </c>
    </row>
    <row r="2631" spans="1:20" hidden="1" x14ac:dyDescent="0.55000000000000004">
      <c r="A2631">
        <v>16</v>
      </c>
      <c r="B2631" s="15" t="str">
        <f t="shared" si="319"/>
        <v>16_6</v>
      </c>
      <c r="C2631" s="20">
        <v>46231.388888888891</v>
      </c>
      <c r="D2631" t="s">
        <v>172</v>
      </c>
      <c r="E2631">
        <v>2</v>
      </c>
      <c r="F2631" t="s">
        <v>178</v>
      </c>
      <c r="G2631" t="str">
        <f t="shared" si="320"/>
        <v>Carassius auratus</v>
      </c>
      <c r="H2631" t="str">
        <f t="shared" si="315"/>
        <v>Goldfish</v>
      </c>
      <c r="I2631" t="str">
        <f t="shared" si="316"/>
        <v>Morihana</v>
      </c>
      <c r="J2631" t="str">
        <f t="shared" si="317"/>
        <v>Nonnative</v>
      </c>
      <c r="K2631" t="str">
        <f t="shared" si="318"/>
        <v>No</v>
      </c>
      <c r="L2631">
        <v>1</v>
      </c>
      <c r="N2631">
        <v>45</v>
      </c>
      <c r="O2631">
        <v>3</v>
      </c>
      <c r="T2631" t="str">
        <f t="shared" si="321"/>
        <v/>
      </c>
    </row>
    <row r="2632" spans="1:20" hidden="1" x14ac:dyDescent="0.55000000000000004">
      <c r="A2632">
        <v>16</v>
      </c>
      <c r="B2632" s="15" t="str">
        <f t="shared" si="319"/>
        <v>16_6</v>
      </c>
      <c r="C2632" s="20">
        <v>46231.388888888891</v>
      </c>
      <c r="D2632" t="s">
        <v>172</v>
      </c>
      <c r="E2632">
        <v>2</v>
      </c>
      <c r="F2632" t="s">
        <v>182</v>
      </c>
      <c r="G2632" t="str">
        <f t="shared" si="320"/>
        <v>Galaxias brevipinnis</v>
      </c>
      <c r="H2632" t="str">
        <f t="shared" si="315"/>
        <v>Climbing_galaxias</v>
      </c>
      <c r="I2632" t="str">
        <f t="shared" si="316"/>
        <v>Kōaro</v>
      </c>
      <c r="J2632" t="str">
        <f t="shared" si="317"/>
        <v>Native</v>
      </c>
      <c r="K2632" t="str">
        <f t="shared" si="318"/>
        <v>Yes</v>
      </c>
      <c r="L2632">
        <v>1</v>
      </c>
      <c r="N2632">
        <v>100</v>
      </c>
      <c r="O2632">
        <v>10</v>
      </c>
      <c r="T2632" t="str">
        <f t="shared" si="321"/>
        <v/>
      </c>
    </row>
    <row r="2633" spans="1:20" hidden="1" x14ac:dyDescent="0.55000000000000004">
      <c r="A2633">
        <v>16</v>
      </c>
      <c r="B2633" s="15" t="str">
        <f t="shared" si="319"/>
        <v>16_6</v>
      </c>
      <c r="C2633" s="20">
        <v>46231.388888888891</v>
      </c>
      <c r="D2633" t="s">
        <v>172</v>
      </c>
      <c r="E2633">
        <v>2</v>
      </c>
      <c r="F2633" t="s">
        <v>182</v>
      </c>
      <c r="G2633" t="str">
        <f t="shared" si="320"/>
        <v>Galaxias brevipinnis</v>
      </c>
      <c r="H2633" t="str">
        <f t="shared" si="315"/>
        <v>Climbing_galaxias</v>
      </c>
      <c r="I2633" t="str">
        <f t="shared" si="316"/>
        <v>Kōaro</v>
      </c>
      <c r="J2633" t="str">
        <f t="shared" si="317"/>
        <v>Native</v>
      </c>
      <c r="K2633" t="str">
        <f t="shared" si="318"/>
        <v>Yes</v>
      </c>
      <c r="L2633">
        <v>1</v>
      </c>
      <c r="N2633">
        <v>90</v>
      </c>
      <c r="O2633">
        <v>6</v>
      </c>
      <c r="T2633" t="str">
        <f t="shared" si="321"/>
        <v/>
      </c>
    </row>
    <row r="2634" spans="1:20" hidden="1" x14ac:dyDescent="0.55000000000000004">
      <c r="A2634">
        <v>16</v>
      </c>
      <c r="B2634" s="15" t="str">
        <f t="shared" si="319"/>
        <v>16_6</v>
      </c>
      <c r="C2634" s="20">
        <v>46231.388888888891</v>
      </c>
      <c r="D2634" t="s">
        <v>172</v>
      </c>
      <c r="E2634">
        <v>2</v>
      </c>
      <c r="F2634" t="s">
        <v>182</v>
      </c>
      <c r="G2634" t="str">
        <f t="shared" si="320"/>
        <v>Galaxias brevipinnis</v>
      </c>
      <c r="H2634" t="str">
        <f t="shared" si="315"/>
        <v>Climbing_galaxias</v>
      </c>
      <c r="I2634" t="str">
        <f t="shared" si="316"/>
        <v>Kōaro</v>
      </c>
      <c r="J2634" t="str">
        <f t="shared" si="317"/>
        <v>Native</v>
      </c>
      <c r="K2634" t="str">
        <f t="shared" si="318"/>
        <v>Yes</v>
      </c>
      <c r="L2634">
        <v>1</v>
      </c>
      <c r="N2634">
        <v>80</v>
      </c>
      <c r="O2634">
        <v>5</v>
      </c>
      <c r="T2634" t="str">
        <f t="shared" si="321"/>
        <v/>
      </c>
    </row>
    <row r="2635" spans="1:20" hidden="1" x14ac:dyDescent="0.55000000000000004">
      <c r="A2635">
        <v>16</v>
      </c>
      <c r="B2635" s="15" t="str">
        <f t="shared" si="319"/>
        <v>16_6</v>
      </c>
      <c r="C2635" s="20">
        <v>46231.388888888891</v>
      </c>
      <c r="D2635" t="s">
        <v>172</v>
      </c>
      <c r="E2635">
        <v>2</v>
      </c>
      <c r="F2635" t="s">
        <v>181</v>
      </c>
      <c r="G2635" t="str">
        <f t="shared" si="320"/>
        <v>Retropinna retropinna</v>
      </c>
      <c r="H2635" t="str">
        <f t="shared" si="315"/>
        <v>Common_smelt</v>
      </c>
      <c r="I2635" t="str">
        <f t="shared" si="316"/>
        <v>Common_smelt</v>
      </c>
      <c r="J2635" t="str">
        <f t="shared" si="317"/>
        <v>Native</v>
      </c>
      <c r="K2635" t="str">
        <f t="shared" si="318"/>
        <v>No</v>
      </c>
      <c r="O2635">
        <v>22</v>
      </c>
      <c r="T2635" t="str">
        <f t="shared" si="321"/>
        <v/>
      </c>
    </row>
    <row r="2636" spans="1:20" hidden="1" x14ac:dyDescent="0.55000000000000004">
      <c r="A2636">
        <v>16</v>
      </c>
      <c r="B2636" s="15" t="str">
        <f t="shared" si="319"/>
        <v>16_6</v>
      </c>
      <c r="C2636" s="20">
        <v>46231.388888888891</v>
      </c>
      <c r="D2636" t="s">
        <v>172</v>
      </c>
      <c r="E2636">
        <v>2</v>
      </c>
      <c r="F2636" t="s">
        <v>167</v>
      </c>
      <c r="G2636" t="str">
        <f t="shared" si="320"/>
        <v>Gobiomorphus cotidianus</v>
      </c>
      <c r="H2636" t="str">
        <f t="shared" si="315"/>
        <v>Common_bully</v>
      </c>
      <c r="I2636" t="str">
        <f t="shared" si="316"/>
        <v>Toitoi</v>
      </c>
      <c r="J2636" t="str">
        <f t="shared" si="317"/>
        <v>Native</v>
      </c>
      <c r="K2636" t="str">
        <f t="shared" si="318"/>
        <v>No</v>
      </c>
      <c r="O2636">
        <v>104</v>
      </c>
      <c r="S2636">
        <v>0.5</v>
      </c>
      <c r="T2636">
        <f t="shared" si="321"/>
        <v>118.294</v>
      </c>
    </row>
    <row r="2637" spans="1:20" hidden="1" x14ac:dyDescent="0.55000000000000004">
      <c r="A2637">
        <v>17</v>
      </c>
      <c r="B2637" s="15" t="str">
        <f t="shared" si="319"/>
        <v>17_6</v>
      </c>
      <c r="C2637" s="20">
        <v>46231.423611111109</v>
      </c>
      <c r="D2637" t="s">
        <v>166</v>
      </c>
      <c r="E2637">
        <v>2</v>
      </c>
      <c r="F2637" t="s">
        <v>167</v>
      </c>
      <c r="G2637" t="str">
        <f t="shared" si="320"/>
        <v>Gobiomorphus cotidianus</v>
      </c>
      <c r="H2637" t="str">
        <f t="shared" si="315"/>
        <v>Common_bully</v>
      </c>
      <c r="I2637" t="str">
        <f t="shared" si="316"/>
        <v>Toitoi</v>
      </c>
      <c r="J2637" t="str">
        <f t="shared" si="317"/>
        <v>Native</v>
      </c>
      <c r="K2637" t="str">
        <f t="shared" si="318"/>
        <v>No</v>
      </c>
      <c r="L2637">
        <v>2</v>
      </c>
      <c r="O2637">
        <v>22</v>
      </c>
      <c r="T2637" t="str">
        <f t="shared" si="321"/>
        <v/>
      </c>
    </row>
    <row r="2638" spans="1:20" x14ac:dyDescent="0.55000000000000004">
      <c r="A2638">
        <v>17</v>
      </c>
      <c r="B2638" s="15" t="str">
        <f t="shared" si="319"/>
        <v>17_6</v>
      </c>
      <c r="C2638" s="20">
        <v>46231.423611111109</v>
      </c>
      <c r="D2638" t="s">
        <v>166</v>
      </c>
      <c r="E2638">
        <v>2</v>
      </c>
      <c r="F2638" t="s">
        <v>168</v>
      </c>
      <c r="G2638" t="str">
        <f t="shared" si="320"/>
        <v>Paranephrops planifrons</v>
      </c>
      <c r="H2638" t="str">
        <f t="shared" si="315"/>
        <v>Freshwater_crayfish</v>
      </c>
      <c r="I2638" t="str">
        <f t="shared" si="316"/>
        <v>Kōura</v>
      </c>
      <c r="J2638" t="str">
        <f t="shared" si="317"/>
        <v>Native</v>
      </c>
      <c r="K2638" t="str">
        <f t="shared" si="318"/>
        <v>Yes</v>
      </c>
      <c r="L2638">
        <v>1</v>
      </c>
      <c r="M2638" t="s">
        <v>199</v>
      </c>
      <c r="N2638">
        <v>35</v>
      </c>
      <c r="O2638">
        <v>35</v>
      </c>
      <c r="T2638" t="str">
        <f t="shared" si="321"/>
        <v/>
      </c>
    </row>
    <row r="2639" spans="1:20" x14ac:dyDescent="0.55000000000000004">
      <c r="A2639">
        <v>17</v>
      </c>
      <c r="B2639" s="15" t="str">
        <f t="shared" si="319"/>
        <v>17_6</v>
      </c>
      <c r="C2639" s="20">
        <v>46231.423611111109</v>
      </c>
      <c r="D2639" t="s">
        <v>166</v>
      </c>
      <c r="E2639">
        <v>2</v>
      </c>
      <c r="F2639" t="s">
        <v>168</v>
      </c>
      <c r="G2639" t="str">
        <f t="shared" si="320"/>
        <v>Paranephrops planifrons</v>
      </c>
      <c r="H2639" t="str">
        <f t="shared" si="315"/>
        <v>Freshwater_crayfish</v>
      </c>
      <c r="I2639" t="str">
        <f t="shared" si="316"/>
        <v>Kōura</v>
      </c>
      <c r="J2639" t="str">
        <f t="shared" si="317"/>
        <v>Native</v>
      </c>
      <c r="K2639" t="str">
        <f t="shared" si="318"/>
        <v>Yes</v>
      </c>
      <c r="L2639">
        <v>1</v>
      </c>
      <c r="M2639" t="s">
        <v>199</v>
      </c>
      <c r="N2639">
        <v>35</v>
      </c>
      <c r="O2639">
        <v>32</v>
      </c>
      <c r="T2639" t="str">
        <f t="shared" si="321"/>
        <v/>
      </c>
    </row>
    <row r="2640" spans="1:20" x14ac:dyDescent="0.55000000000000004">
      <c r="A2640">
        <v>17</v>
      </c>
      <c r="B2640" s="15" t="str">
        <f t="shared" si="319"/>
        <v>17_6</v>
      </c>
      <c r="C2640" s="20">
        <v>46231.423611111109</v>
      </c>
      <c r="D2640" t="s">
        <v>166</v>
      </c>
      <c r="E2640">
        <v>2</v>
      </c>
      <c r="F2640" t="s">
        <v>168</v>
      </c>
      <c r="G2640" t="str">
        <f t="shared" si="320"/>
        <v>Paranephrops planifrons</v>
      </c>
      <c r="H2640" t="str">
        <f t="shared" si="315"/>
        <v>Freshwater_crayfish</v>
      </c>
      <c r="I2640" t="str">
        <f t="shared" si="316"/>
        <v>Kōura</v>
      </c>
      <c r="J2640" t="str">
        <f t="shared" si="317"/>
        <v>Native</v>
      </c>
      <c r="K2640" t="str">
        <f t="shared" si="318"/>
        <v>Yes</v>
      </c>
      <c r="L2640">
        <v>1</v>
      </c>
      <c r="M2640" t="s">
        <v>199</v>
      </c>
      <c r="N2640">
        <v>29</v>
      </c>
      <c r="O2640">
        <v>21</v>
      </c>
      <c r="T2640" t="str">
        <f t="shared" si="321"/>
        <v/>
      </c>
    </row>
    <row r="2641" spans="1:20" x14ac:dyDescent="0.55000000000000004">
      <c r="A2641">
        <v>17</v>
      </c>
      <c r="B2641" s="15" t="str">
        <f t="shared" si="319"/>
        <v>17_6</v>
      </c>
      <c r="C2641" s="20">
        <v>46231.423611111109</v>
      </c>
      <c r="D2641" t="s">
        <v>166</v>
      </c>
      <c r="E2641">
        <v>2</v>
      </c>
      <c r="F2641" t="s">
        <v>168</v>
      </c>
      <c r="G2641" t="str">
        <f t="shared" si="320"/>
        <v>Paranephrops planifrons</v>
      </c>
      <c r="H2641" t="str">
        <f t="shared" ref="H2641:H2704" si="322">VLOOKUP($F2641, $W$1:$AB$10, 3, FALSE)</f>
        <v>Freshwater_crayfish</v>
      </c>
      <c r="I2641" t="str">
        <f t="shared" ref="I2641:I2704" si="323">VLOOKUP($F2641, $W$1:$AB$10, 4, FALSE)</f>
        <v>Kōura</v>
      </c>
      <c r="J2641" t="str">
        <f t="shared" ref="J2641:J2704" si="324">VLOOKUP($F2641, $W$1:$AC$10, 5, FALSE)</f>
        <v>Native</v>
      </c>
      <c r="K2641" t="str">
        <f t="shared" ref="K2641:K2704" si="325">VLOOKUP($F2641, $W$1:$AB$10, 6, FALSE)</f>
        <v>Yes</v>
      </c>
      <c r="L2641">
        <v>1</v>
      </c>
      <c r="M2641" t="s">
        <v>199</v>
      </c>
      <c r="N2641">
        <v>32</v>
      </c>
      <c r="O2641">
        <v>27</v>
      </c>
      <c r="T2641" t="str">
        <f t="shared" si="321"/>
        <v/>
      </c>
    </row>
    <row r="2642" spans="1:20" hidden="1" x14ac:dyDescent="0.55000000000000004">
      <c r="A2642">
        <v>17</v>
      </c>
      <c r="B2642" s="15" t="str">
        <f t="shared" si="319"/>
        <v>17_6</v>
      </c>
      <c r="C2642" s="20">
        <v>46231.423611111109</v>
      </c>
      <c r="D2642" t="s">
        <v>172</v>
      </c>
      <c r="E2642">
        <v>2</v>
      </c>
      <c r="F2642" t="s">
        <v>178</v>
      </c>
      <c r="G2642" t="str">
        <f t="shared" si="320"/>
        <v>Carassius auratus</v>
      </c>
      <c r="H2642" t="str">
        <f t="shared" si="322"/>
        <v>Goldfish</v>
      </c>
      <c r="I2642" t="str">
        <f t="shared" si="323"/>
        <v>Morihana</v>
      </c>
      <c r="J2642" t="str">
        <f t="shared" si="324"/>
        <v>Nonnative</v>
      </c>
      <c r="K2642" t="str">
        <f t="shared" si="325"/>
        <v>No</v>
      </c>
      <c r="L2642">
        <v>1</v>
      </c>
      <c r="N2642">
        <v>32</v>
      </c>
      <c r="O2642">
        <v>28</v>
      </c>
      <c r="T2642" t="str">
        <f t="shared" si="321"/>
        <v/>
      </c>
    </row>
    <row r="2643" spans="1:20" hidden="1" x14ac:dyDescent="0.55000000000000004">
      <c r="A2643">
        <v>17</v>
      </c>
      <c r="B2643" s="15" t="str">
        <f t="shared" si="319"/>
        <v>17_6</v>
      </c>
      <c r="C2643" s="20">
        <v>46231.423611111109</v>
      </c>
      <c r="D2643" t="s">
        <v>172</v>
      </c>
      <c r="E2643">
        <v>2</v>
      </c>
      <c r="F2643" t="s">
        <v>178</v>
      </c>
      <c r="G2643" t="str">
        <f t="shared" si="320"/>
        <v>Carassius auratus</v>
      </c>
      <c r="H2643" t="str">
        <f t="shared" si="322"/>
        <v>Goldfish</v>
      </c>
      <c r="I2643" t="str">
        <f t="shared" si="323"/>
        <v>Morihana</v>
      </c>
      <c r="J2643" t="str">
        <f t="shared" si="324"/>
        <v>Nonnative</v>
      </c>
      <c r="K2643" t="str">
        <f t="shared" si="325"/>
        <v>No</v>
      </c>
      <c r="L2643">
        <v>1</v>
      </c>
      <c r="N2643">
        <v>175</v>
      </c>
      <c r="O2643">
        <v>121</v>
      </c>
      <c r="T2643" t="str">
        <f t="shared" si="321"/>
        <v/>
      </c>
    </row>
    <row r="2644" spans="1:20" hidden="1" x14ac:dyDescent="0.55000000000000004">
      <c r="A2644">
        <v>17</v>
      </c>
      <c r="B2644" s="15" t="str">
        <f t="shared" si="319"/>
        <v>17_6</v>
      </c>
      <c r="C2644" s="20">
        <v>46231.423611111109</v>
      </c>
      <c r="D2644" t="s">
        <v>172</v>
      </c>
      <c r="E2644">
        <v>2</v>
      </c>
      <c r="F2644" t="s">
        <v>178</v>
      </c>
      <c r="G2644" t="str">
        <f t="shared" si="320"/>
        <v>Carassius auratus</v>
      </c>
      <c r="H2644" t="str">
        <f t="shared" si="322"/>
        <v>Goldfish</v>
      </c>
      <c r="I2644" t="str">
        <f t="shared" si="323"/>
        <v>Morihana</v>
      </c>
      <c r="J2644" t="str">
        <f t="shared" si="324"/>
        <v>Nonnative</v>
      </c>
      <c r="K2644" t="str">
        <f t="shared" si="325"/>
        <v>No</v>
      </c>
      <c r="L2644">
        <v>1</v>
      </c>
      <c r="N2644">
        <v>160</v>
      </c>
      <c r="O2644">
        <v>95</v>
      </c>
      <c r="T2644" t="str">
        <f t="shared" si="321"/>
        <v/>
      </c>
    </row>
    <row r="2645" spans="1:20" hidden="1" x14ac:dyDescent="0.55000000000000004">
      <c r="A2645">
        <v>17</v>
      </c>
      <c r="B2645" s="15" t="str">
        <f t="shared" si="319"/>
        <v>17_6</v>
      </c>
      <c r="C2645" s="20">
        <v>46231.423611111109</v>
      </c>
      <c r="D2645" t="s">
        <v>172</v>
      </c>
      <c r="E2645">
        <v>2</v>
      </c>
      <c r="F2645" t="s">
        <v>178</v>
      </c>
      <c r="G2645" t="str">
        <f t="shared" si="320"/>
        <v>Carassius auratus</v>
      </c>
      <c r="H2645" t="str">
        <f t="shared" si="322"/>
        <v>Goldfish</v>
      </c>
      <c r="I2645" t="str">
        <f t="shared" si="323"/>
        <v>Morihana</v>
      </c>
      <c r="J2645" t="str">
        <f t="shared" si="324"/>
        <v>Nonnative</v>
      </c>
      <c r="K2645" t="str">
        <f t="shared" si="325"/>
        <v>No</v>
      </c>
      <c r="L2645">
        <v>1</v>
      </c>
      <c r="N2645">
        <v>155</v>
      </c>
      <c r="O2645">
        <v>86</v>
      </c>
      <c r="T2645" t="str">
        <f t="shared" si="321"/>
        <v/>
      </c>
    </row>
    <row r="2646" spans="1:20" hidden="1" x14ac:dyDescent="0.55000000000000004">
      <c r="A2646">
        <v>17</v>
      </c>
      <c r="B2646" s="15" t="str">
        <f t="shared" si="319"/>
        <v>17_6</v>
      </c>
      <c r="C2646" s="20">
        <v>46231.423611111109</v>
      </c>
      <c r="D2646" t="s">
        <v>172</v>
      </c>
      <c r="E2646">
        <v>2</v>
      </c>
      <c r="F2646" t="s">
        <v>178</v>
      </c>
      <c r="G2646" t="str">
        <f t="shared" si="320"/>
        <v>Carassius auratus</v>
      </c>
      <c r="H2646" t="str">
        <f t="shared" si="322"/>
        <v>Goldfish</v>
      </c>
      <c r="I2646" t="str">
        <f t="shared" si="323"/>
        <v>Morihana</v>
      </c>
      <c r="J2646" t="str">
        <f t="shared" si="324"/>
        <v>Nonnative</v>
      </c>
      <c r="K2646" t="str">
        <f t="shared" si="325"/>
        <v>No</v>
      </c>
      <c r="L2646">
        <v>1</v>
      </c>
      <c r="N2646">
        <v>130</v>
      </c>
      <c r="O2646">
        <v>56</v>
      </c>
      <c r="T2646" t="str">
        <f t="shared" si="321"/>
        <v/>
      </c>
    </row>
    <row r="2647" spans="1:20" hidden="1" x14ac:dyDescent="0.55000000000000004">
      <c r="A2647">
        <v>17</v>
      </c>
      <c r="B2647" s="15" t="str">
        <f t="shared" si="319"/>
        <v>17_6</v>
      </c>
      <c r="C2647" s="20">
        <v>46231.423611111109</v>
      </c>
      <c r="D2647" t="s">
        <v>172</v>
      </c>
      <c r="E2647">
        <v>2</v>
      </c>
      <c r="F2647" t="s">
        <v>178</v>
      </c>
      <c r="G2647" t="str">
        <f t="shared" si="320"/>
        <v>Carassius auratus</v>
      </c>
      <c r="H2647" t="str">
        <f t="shared" si="322"/>
        <v>Goldfish</v>
      </c>
      <c r="I2647" t="str">
        <f t="shared" si="323"/>
        <v>Morihana</v>
      </c>
      <c r="J2647" t="str">
        <f t="shared" si="324"/>
        <v>Nonnative</v>
      </c>
      <c r="K2647" t="str">
        <f t="shared" si="325"/>
        <v>No</v>
      </c>
      <c r="L2647">
        <v>1</v>
      </c>
      <c r="N2647">
        <v>85</v>
      </c>
      <c r="O2647">
        <v>12</v>
      </c>
      <c r="T2647" t="str">
        <f t="shared" si="321"/>
        <v/>
      </c>
    </row>
    <row r="2648" spans="1:20" hidden="1" x14ac:dyDescent="0.55000000000000004">
      <c r="A2648">
        <v>17</v>
      </c>
      <c r="B2648" s="15" t="str">
        <f t="shared" si="319"/>
        <v>17_6</v>
      </c>
      <c r="C2648" s="20">
        <v>46231.423611111109</v>
      </c>
      <c r="D2648" t="s">
        <v>172</v>
      </c>
      <c r="E2648">
        <v>2</v>
      </c>
      <c r="F2648" t="s">
        <v>182</v>
      </c>
      <c r="G2648" t="str">
        <f t="shared" si="320"/>
        <v>Galaxias brevipinnis</v>
      </c>
      <c r="H2648" t="str">
        <f t="shared" si="322"/>
        <v>Climbing_galaxias</v>
      </c>
      <c r="I2648" t="str">
        <f t="shared" si="323"/>
        <v>Kōaro</v>
      </c>
      <c r="J2648" t="str">
        <f t="shared" si="324"/>
        <v>Native</v>
      </c>
      <c r="K2648" t="str">
        <f t="shared" si="325"/>
        <v>Yes</v>
      </c>
      <c r="L2648">
        <v>1</v>
      </c>
      <c r="N2648">
        <v>150</v>
      </c>
      <c r="O2648">
        <v>40</v>
      </c>
      <c r="T2648" t="str">
        <f t="shared" si="321"/>
        <v/>
      </c>
    </row>
    <row r="2649" spans="1:20" hidden="1" x14ac:dyDescent="0.55000000000000004">
      <c r="A2649">
        <v>17</v>
      </c>
      <c r="B2649" s="15" t="str">
        <f t="shared" si="319"/>
        <v>17_6</v>
      </c>
      <c r="C2649" s="20">
        <v>46231.423611111109</v>
      </c>
      <c r="D2649" t="s">
        <v>172</v>
      </c>
      <c r="E2649">
        <v>2</v>
      </c>
      <c r="F2649" t="s">
        <v>182</v>
      </c>
      <c r="G2649" t="str">
        <f t="shared" si="320"/>
        <v>Galaxias brevipinnis</v>
      </c>
      <c r="H2649" t="str">
        <f t="shared" si="322"/>
        <v>Climbing_galaxias</v>
      </c>
      <c r="I2649" t="str">
        <f t="shared" si="323"/>
        <v>Kōaro</v>
      </c>
      <c r="J2649" t="str">
        <f t="shared" si="324"/>
        <v>Native</v>
      </c>
      <c r="K2649" t="str">
        <f t="shared" si="325"/>
        <v>Yes</v>
      </c>
      <c r="L2649">
        <v>1</v>
      </c>
      <c r="N2649">
        <v>100</v>
      </c>
      <c r="O2649">
        <v>12</v>
      </c>
      <c r="T2649" t="str">
        <f t="shared" si="321"/>
        <v/>
      </c>
    </row>
    <row r="2650" spans="1:20" hidden="1" x14ac:dyDescent="0.55000000000000004">
      <c r="A2650">
        <v>17</v>
      </c>
      <c r="B2650" s="15" t="str">
        <f t="shared" si="319"/>
        <v>17_6</v>
      </c>
      <c r="C2650" s="20">
        <v>46231.423611053244</v>
      </c>
      <c r="D2650" t="s">
        <v>172</v>
      </c>
      <c r="E2650">
        <v>2</v>
      </c>
      <c r="F2650" t="s">
        <v>182</v>
      </c>
      <c r="G2650" t="str">
        <f t="shared" si="320"/>
        <v>Galaxias brevipinnis</v>
      </c>
      <c r="H2650" t="str">
        <f t="shared" si="322"/>
        <v>Climbing_galaxias</v>
      </c>
      <c r="I2650" t="str">
        <f t="shared" si="323"/>
        <v>Kōaro</v>
      </c>
      <c r="J2650" t="str">
        <f t="shared" si="324"/>
        <v>Native</v>
      </c>
      <c r="K2650" t="str">
        <f t="shared" si="325"/>
        <v>Yes</v>
      </c>
      <c r="L2650">
        <v>1</v>
      </c>
      <c r="N2650">
        <v>90</v>
      </c>
      <c r="O2650">
        <v>7</v>
      </c>
      <c r="T2650" t="str">
        <f t="shared" si="321"/>
        <v/>
      </c>
    </row>
    <row r="2651" spans="1:20" hidden="1" x14ac:dyDescent="0.55000000000000004">
      <c r="A2651">
        <v>17</v>
      </c>
      <c r="B2651" s="15" t="str">
        <f t="shared" si="319"/>
        <v>17_6</v>
      </c>
      <c r="C2651" s="20">
        <v>46231.423611053244</v>
      </c>
      <c r="D2651" t="s">
        <v>172</v>
      </c>
      <c r="E2651">
        <v>2</v>
      </c>
      <c r="F2651" t="s">
        <v>182</v>
      </c>
      <c r="G2651" t="str">
        <f t="shared" si="320"/>
        <v>Galaxias brevipinnis</v>
      </c>
      <c r="H2651" t="str">
        <f t="shared" si="322"/>
        <v>Climbing_galaxias</v>
      </c>
      <c r="I2651" t="str">
        <f t="shared" si="323"/>
        <v>Kōaro</v>
      </c>
      <c r="J2651" t="str">
        <f t="shared" si="324"/>
        <v>Native</v>
      </c>
      <c r="K2651" t="str">
        <f t="shared" si="325"/>
        <v>Yes</v>
      </c>
      <c r="L2651">
        <v>1</v>
      </c>
      <c r="N2651">
        <v>115</v>
      </c>
      <c r="O2651">
        <v>15</v>
      </c>
      <c r="T2651" t="str">
        <f t="shared" si="321"/>
        <v/>
      </c>
    </row>
    <row r="2652" spans="1:20" hidden="1" x14ac:dyDescent="0.55000000000000004">
      <c r="A2652">
        <v>17</v>
      </c>
      <c r="B2652" s="15" t="str">
        <f t="shared" si="319"/>
        <v>17_6</v>
      </c>
      <c r="C2652" s="20">
        <v>46231.423611053244</v>
      </c>
      <c r="D2652" t="s">
        <v>172</v>
      </c>
      <c r="E2652">
        <v>2</v>
      </c>
      <c r="F2652" t="s">
        <v>182</v>
      </c>
      <c r="G2652" t="str">
        <f t="shared" si="320"/>
        <v>Galaxias brevipinnis</v>
      </c>
      <c r="H2652" t="str">
        <f t="shared" si="322"/>
        <v>Climbing_galaxias</v>
      </c>
      <c r="I2652" t="str">
        <f t="shared" si="323"/>
        <v>Kōaro</v>
      </c>
      <c r="J2652" t="str">
        <f t="shared" si="324"/>
        <v>Native</v>
      </c>
      <c r="K2652" t="str">
        <f t="shared" si="325"/>
        <v>Yes</v>
      </c>
      <c r="L2652">
        <v>1</v>
      </c>
      <c r="N2652">
        <v>90</v>
      </c>
      <c r="O2652">
        <v>7</v>
      </c>
      <c r="T2652" t="str">
        <f t="shared" si="321"/>
        <v/>
      </c>
    </row>
    <row r="2653" spans="1:20" hidden="1" x14ac:dyDescent="0.55000000000000004">
      <c r="A2653">
        <v>17</v>
      </c>
      <c r="B2653" s="15" t="str">
        <f t="shared" si="319"/>
        <v>17_6</v>
      </c>
      <c r="C2653" s="20">
        <v>46231.423611053244</v>
      </c>
      <c r="D2653" t="s">
        <v>172</v>
      </c>
      <c r="E2653">
        <v>2</v>
      </c>
      <c r="F2653" t="s">
        <v>182</v>
      </c>
      <c r="G2653" t="str">
        <f t="shared" si="320"/>
        <v>Galaxias brevipinnis</v>
      </c>
      <c r="H2653" t="str">
        <f t="shared" si="322"/>
        <v>Climbing_galaxias</v>
      </c>
      <c r="I2653" t="str">
        <f t="shared" si="323"/>
        <v>Kōaro</v>
      </c>
      <c r="J2653" t="str">
        <f t="shared" si="324"/>
        <v>Native</v>
      </c>
      <c r="K2653" t="str">
        <f t="shared" si="325"/>
        <v>Yes</v>
      </c>
      <c r="L2653">
        <v>1</v>
      </c>
      <c r="N2653">
        <v>90</v>
      </c>
      <c r="O2653">
        <v>7</v>
      </c>
      <c r="T2653" t="str">
        <f t="shared" si="321"/>
        <v/>
      </c>
    </row>
    <row r="2654" spans="1:20" hidden="1" x14ac:dyDescent="0.55000000000000004">
      <c r="A2654">
        <v>17</v>
      </c>
      <c r="B2654" s="15" t="str">
        <f t="shared" si="319"/>
        <v>17_6</v>
      </c>
      <c r="C2654" s="20">
        <v>46231.423611053244</v>
      </c>
      <c r="D2654" t="s">
        <v>172</v>
      </c>
      <c r="E2654">
        <v>2</v>
      </c>
      <c r="F2654" t="s">
        <v>182</v>
      </c>
      <c r="G2654" t="str">
        <f t="shared" si="320"/>
        <v>Galaxias brevipinnis</v>
      </c>
      <c r="H2654" t="str">
        <f t="shared" si="322"/>
        <v>Climbing_galaxias</v>
      </c>
      <c r="I2654" t="str">
        <f t="shared" si="323"/>
        <v>Kōaro</v>
      </c>
      <c r="J2654" t="str">
        <f t="shared" si="324"/>
        <v>Native</v>
      </c>
      <c r="K2654" t="str">
        <f t="shared" si="325"/>
        <v>Yes</v>
      </c>
      <c r="L2654">
        <v>1</v>
      </c>
      <c r="N2654">
        <v>95</v>
      </c>
      <c r="O2654">
        <v>7</v>
      </c>
      <c r="T2654" t="str">
        <f t="shared" si="321"/>
        <v/>
      </c>
    </row>
    <row r="2655" spans="1:20" x14ac:dyDescent="0.55000000000000004">
      <c r="A2655">
        <v>17</v>
      </c>
      <c r="B2655" s="15" t="str">
        <f t="shared" si="319"/>
        <v>17_6</v>
      </c>
      <c r="C2655" s="20">
        <v>46231.423611053244</v>
      </c>
      <c r="D2655" t="s">
        <v>172</v>
      </c>
      <c r="E2655">
        <v>2</v>
      </c>
      <c r="F2655" t="s">
        <v>168</v>
      </c>
      <c r="G2655" t="str">
        <f t="shared" si="320"/>
        <v>Paranephrops planifrons</v>
      </c>
      <c r="H2655" t="str">
        <f t="shared" si="322"/>
        <v>Freshwater_crayfish</v>
      </c>
      <c r="I2655" t="str">
        <f t="shared" si="323"/>
        <v>Kōura</v>
      </c>
      <c r="J2655" t="str">
        <f t="shared" si="324"/>
        <v>Native</v>
      </c>
      <c r="K2655" t="str">
        <f t="shared" si="325"/>
        <v>Yes</v>
      </c>
      <c r="L2655">
        <v>1</v>
      </c>
      <c r="M2655" t="s">
        <v>198</v>
      </c>
      <c r="N2655">
        <v>25</v>
      </c>
      <c r="O2655">
        <v>14</v>
      </c>
      <c r="T2655" t="str">
        <f t="shared" si="321"/>
        <v/>
      </c>
    </row>
    <row r="2656" spans="1:20" x14ac:dyDescent="0.55000000000000004">
      <c r="A2656">
        <v>17</v>
      </c>
      <c r="B2656" s="15" t="str">
        <f t="shared" si="319"/>
        <v>17_6</v>
      </c>
      <c r="C2656" s="20">
        <v>46231.423611053244</v>
      </c>
      <c r="D2656" t="s">
        <v>172</v>
      </c>
      <c r="E2656">
        <v>2</v>
      </c>
      <c r="F2656" t="s">
        <v>168</v>
      </c>
      <c r="G2656" t="str">
        <f t="shared" si="320"/>
        <v>Paranephrops planifrons</v>
      </c>
      <c r="H2656" t="str">
        <f t="shared" si="322"/>
        <v>Freshwater_crayfish</v>
      </c>
      <c r="I2656" t="str">
        <f t="shared" si="323"/>
        <v>Kōura</v>
      </c>
      <c r="J2656" t="str">
        <f t="shared" si="324"/>
        <v>Native</v>
      </c>
      <c r="K2656" t="str">
        <f t="shared" si="325"/>
        <v>Yes</v>
      </c>
      <c r="L2656">
        <v>1</v>
      </c>
      <c r="M2656" t="s">
        <v>198</v>
      </c>
      <c r="N2656">
        <v>28</v>
      </c>
      <c r="O2656">
        <v>16</v>
      </c>
      <c r="T2656" t="str">
        <f t="shared" si="321"/>
        <v/>
      </c>
    </row>
    <row r="2657" spans="1:20" x14ac:dyDescent="0.55000000000000004">
      <c r="A2657">
        <v>17</v>
      </c>
      <c r="B2657" s="15" t="str">
        <f t="shared" si="319"/>
        <v>17_6</v>
      </c>
      <c r="C2657" s="20">
        <v>46231.423611053244</v>
      </c>
      <c r="D2657" t="s">
        <v>172</v>
      </c>
      <c r="E2657">
        <v>2</v>
      </c>
      <c r="F2657" t="s">
        <v>168</v>
      </c>
      <c r="G2657" t="str">
        <f t="shared" si="320"/>
        <v>Paranephrops planifrons</v>
      </c>
      <c r="H2657" t="str">
        <f t="shared" si="322"/>
        <v>Freshwater_crayfish</v>
      </c>
      <c r="I2657" t="str">
        <f t="shared" si="323"/>
        <v>Kōura</v>
      </c>
      <c r="J2657" t="str">
        <f t="shared" si="324"/>
        <v>Native</v>
      </c>
      <c r="K2657" t="str">
        <f t="shared" si="325"/>
        <v>Yes</v>
      </c>
      <c r="L2657">
        <v>1</v>
      </c>
      <c r="M2657" t="s">
        <v>199</v>
      </c>
      <c r="N2657">
        <v>27</v>
      </c>
      <c r="O2657">
        <v>17</v>
      </c>
      <c r="T2657" t="str">
        <f t="shared" si="321"/>
        <v/>
      </c>
    </row>
    <row r="2658" spans="1:20" x14ac:dyDescent="0.55000000000000004">
      <c r="A2658">
        <v>17</v>
      </c>
      <c r="B2658" s="15" t="str">
        <f t="shared" si="319"/>
        <v>17_6</v>
      </c>
      <c r="C2658" s="20">
        <v>46231.423611053244</v>
      </c>
      <c r="D2658" t="s">
        <v>172</v>
      </c>
      <c r="E2658">
        <v>2</v>
      </c>
      <c r="F2658" t="s">
        <v>168</v>
      </c>
      <c r="G2658" t="str">
        <f t="shared" si="320"/>
        <v>Paranephrops planifrons</v>
      </c>
      <c r="H2658" t="str">
        <f t="shared" si="322"/>
        <v>Freshwater_crayfish</v>
      </c>
      <c r="I2658" t="str">
        <f t="shared" si="323"/>
        <v>Kōura</v>
      </c>
      <c r="J2658" t="str">
        <f t="shared" si="324"/>
        <v>Native</v>
      </c>
      <c r="K2658" t="str">
        <f t="shared" si="325"/>
        <v>Yes</v>
      </c>
      <c r="L2658">
        <v>1</v>
      </c>
      <c r="M2658" t="s">
        <v>199</v>
      </c>
      <c r="N2658">
        <v>13</v>
      </c>
      <c r="O2658">
        <v>1</v>
      </c>
      <c r="T2658" t="str">
        <f t="shared" si="321"/>
        <v/>
      </c>
    </row>
    <row r="2659" spans="1:20" x14ac:dyDescent="0.55000000000000004">
      <c r="A2659">
        <v>17</v>
      </c>
      <c r="B2659" s="15" t="str">
        <f t="shared" si="319"/>
        <v>17_6</v>
      </c>
      <c r="C2659" s="20">
        <v>46231.423611053244</v>
      </c>
      <c r="D2659" t="s">
        <v>172</v>
      </c>
      <c r="E2659">
        <v>2</v>
      </c>
      <c r="F2659" t="s">
        <v>168</v>
      </c>
      <c r="G2659" t="str">
        <f t="shared" si="320"/>
        <v>Paranephrops planifrons</v>
      </c>
      <c r="H2659" t="str">
        <f t="shared" si="322"/>
        <v>Freshwater_crayfish</v>
      </c>
      <c r="I2659" t="str">
        <f t="shared" si="323"/>
        <v>Kōura</v>
      </c>
      <c r="J2659" t="str">
        <f t="shared" si="324"/>
        <v>Native</v>
      </c>
      <c r="K2659" t="str">
        <f t="shared" si="325"/>
        <v>Yes</v>
      </c>
      <c r="L2659">
        <v>1</v>
      </c>
      <c r="M2659" t="s">
        <v>199</v>
      </c>
      <c r="N2659">
        <v>32</v>
      </c>
      <c r="O2659">
        <v>22</v>
      </c>
      <c r="T2659" t="str">
        <f t="shared" si="321"/>
        <v/>
      </c>
    </row>
    <row r="2660" spans="1:20" x14ac:dyDescent="0.55000000000000004">
      <c r="A2660">
        <v>17</v>
      </c>
      <c r="B2660" s="15" t="str">
        <f t="shared" si="319"/>
        <v>17_6</v>
      </c>
      <c r="C2660" s="20">
        <v>46231.423611053244</v>
      </c>
      <c r="D2660" t="s">
        <v>172</v>
      </c>
      <c r="E2660">
        <v>2</v>
      </c>
      <c r="F2660" t="s">
        <v>168</v>
      </c>
      <c r="G2660" t="str">
        <f t="shared" si="320"/>
        <v>Paranephrops planifrons</v>
      </c>
      <c r="H2660" t="str">
        <f t="shared" si="322"/>
        <v>Freshwater_crayfish</v>
      </c>
      <c r="I2660" t="str">
        <f t="shared" si="323"/>
        <v>Kōura</v>
      </c>
      <c r="J2660" t="str">
        <f t="shared" si="324"/>
        <v>Native</v>
      </c>
      <c r="K2660" t="str">
        <f t="shared" si="325"/>
        <v>Yes</v>
      </c>
      <c r="L2660">
        <v>1</v>
      </c>
      <c r="M2660" t="s">
        <v>199</v>
      </c>
      <c r="N2660">
        <v>35</v>
      </c>
      <c r="O2660">
        <v>34</v>
      </c>
      <c r="T2660" t="str">
        <f t="shared" si="321"/>
        <v/>
      </c>
    </row>
    <row r="2661" spans="1:20" x14ac:dyDescent="0.55000000000000004">
      <c r="A2661">
        <v>17</v>
      </c>
      <c r="B2661" s="15" t="str">
        <f t="shared" si="319"/>
        <v>17_6</v>
      </c>
      <c r="C2661" s="20">
        <v>46231.423611053244</v>
      </c>
      <c r="D2661" t="s">
        <v>172</v>
      </c>
      <c r="E2661">
        <v>2</v>
      </c>
      <c r="F2661" t="s">
        <v>168</v>
      </c>
      <c r="G2661" t="str">
        <f t="shared" si="320"/>
        <v>Paranephrops planifrons</v>
      </c>
      <c r="H2661" t="str">
        <f t="shared" si="322"/>
        <v>Freshwater_crayfish</v>
      </c>
      <c r="I2661" t="str">
        <f t="shared" si="323"/>
        <v>Kōura</v>
      </c>
      <c r="J2661" t="str">
        <f t="shared" si="324"/>
        <v>Native</v>
      </c>
      <c r="K2661" t="str">
        <f t="shared" si="325"/>
        <v>Yes</v>
      </c>
      <c r="L2661">
        <v>1</v>
      </c>
      <c r="M2661" t="s">
        <v>199</v>
      </c>
      <c r="N2661">
        <v>27</v>
      </c>
      <c r="O2661">
        <v>17</v>
      </c>
      <c r="T2661" t="str">
        <f t="shared" si="321"/>
        <v/>
      </c>
    </row>
    <row r="2662" spans="1:20" x14ac:dyDescent="0.55000000000000004">
      <c r="A2662">
        <v>17</v>
      </c>
      <c r="B2662" s="15" t="str">
        <f t="shared" si="319"/>
        <v>17_6</v>
      </c>
      <c r="C2662" s="20">
        <v>46231.423611053244</v>
      </c>
      <c r="D2662" t="s">
        <v>172</v>
      </c>
      <c r="E2662">
        <v>2</v>
      </c>
      <c r="F2662" t="s">
        <v>168</v>
      </c>
      <c r="G2662" t="str">
        <f t="shared" si="320"/>
        <v>Paranephrops planifrons</v>
      </c>
      <c r="H2662" t="str">
        <f t="shared" si="322"/>
        <v>Freshwater_crayfish</v>
      </c>
      <c r="I2662" t="str">
        <f t="shared" si="323"/>
        <v>Kōura</v>
      </c>
      <c r="J2662" t="str">
        <f t="shared" si="324"/>
        <v>Native</v>
      </c>
      <c r="K2662" t="str">
        <f t="shared" si="325"/>
        <v>Yes</v>
      </c>
      <c r="L2662">
        <v>1</v>
      </c>
      <c r="M2662" t="s">
        <v>199</v>
      </c>
      <c r="N2662">
        <v>31</v>
      </c>
      <c r="O2662">
        <v>25</v>
      </c>
      <c r="T2662" t="str">
        <f t="shared" si="321"/>
        <v/>
      </c>
    </row>
    <row r="2663" spans="1:20" x14ac:dyDescent="0.55000000000000004">
      <c r="A2663">
        <v>17</v>
      </c>
      <c r="B2663" s="15" t="str">
        <f t="shared" si="319"/>
        <v>17_6</v>
      </c>
      <c r="C2663" s="20">
        <v>46231.423611053244</v>
      </c>
      <c r="D2663" t="s">
        <v>172</v>
      </c>
      <c r="E2663">
        <v>2</v>
      </c>
      <c r="F2663" t="s">
        <v>168</v>
      </c>
      <c r="G2663" t="str">
        <f t="shared" si="320"/>
        <v>Paranephrops planifrons</v>
      </c>
      <c r="H2663" t="str">
        <f t="shared" si="322"/>
        <v>Freshwater_crayfish</v>
      </c>
      <c r="I2663" t="str">
        <f t="shared" si="323"/>
        <v>Kōura</v>
      </c>
      <c r="J2663" t="str">
        <f t="shared" si="324"/>
        <v>Native</v>
      </c>
      <c r="K2663" t="str">
        <f t="shared" si="325"/>
        <v>Yes</v>
      </c>
      <c r="L2663">
        <v>1</v>
      </c>
      <c r="M2663" t="s">
        <v>198</v>
      </c>
      <c r="N2663">
        <v>18</v>
      </c>
      <c r="O2663">
        <v>5</v>
      </c>
      <c r="T2663" t="str">
        <f t="shared" si="321"/>
        <v/>
      </c>
    </row>
    <row r="2664" spans="1:20" x14ac:dyDescent="0.55000000000000004">
      <c r="A2664">
        <v>17</v>
      </c>
      <c r="B2664" s="15" t="str">
        <f t="shared" si="319"/>
        <v>17_6</v>
      </c>
      <c r="C2664" s="20">
        <v>46231.423611053244</v>
      </c>
      <c r="D2664" t="s">
        <v>172</v>
      </c>
      <c r="E2664">
        <v>2</v>
      </c>
      <c r="F2664" t="s">
        <v>168</v>
      </c>
      <c r="G2664" t="str">
        <f t="shared" si="320"/>
        <v>Paranephrops planifrons</v>
      </c>
      <c r="H2664" t="str">
        <f t="shared" si="322"/>
        <v>Freshwater_crayfish</v>
      </c>
      <c r="I2664" t="str">
        <f t="shared" si="323"/>
        <v>Kōura</v>
      </c>
      <c r="J2664" t="str">
        <f t="shared" si="324"/>
        <v>Native</v>
      </c>
      <c r="K2664" t="str">
        <f t="shared" si="325"/>
        <v>Yes</v>
      </c>
      <c r="L2664">
        <v>1</v>
      </c>
      <c r="M2664" t="s">
        <v>199</v>
      </c>
      <c r="N2664">
        <v>13</v>
      </c>
      <c r="O2664">
        <v>7</v>
      </c>
      <c r="T2664" t="str">
        <f t="shared" si="321"/>
        <v/>
      </c>
    </row>
    <row r="2665" spans="1:20" hidden="1" x14ac:dyDescent="0.55000000000000004">
      <c r="A2665">
        <v>17</v>
      </c>
      <c r="B2665" s="15" t="str">
        <f t="shared" si="319"/>
        <v>17_6</v>
      </c>
      <c r="C2665" s="20">
        <v>46231.423611053244</v>
      </c>
      <c r="D2665" t="s">
        <v>172</v>
      </c>
      <c r="E2665">
        <v>2</v>
      </c>
      <c r="F2665" t="s">
        <v>181</v>
      </c>
      <c r="G2665" t="str">
        <f t="shared" si="320"/>
        <v>Retropinna retropinna</v>
      </c>
      <c r="H2665" t="str">
        <f t="shared" si="322"/>
        <v>Common_smelt</v>
      </c>
      <c r="I2665" t="str">
        <f t="shared" si="323"/>
        <v>Common_smelt</v>
      </c>
      <c r="J2665" t="str">
        <f t="shared" si="324"/>
        <v>Native</v>
      </c>
      <c r="K2665" t="str">
        <f t="shared" si="325"/>
        <v>No</v>
      </c>
      <c r="L2665">
        <v>10</v>
      </c>
      <c r="O2665">
        <v>10</v>
      </c>
    </row>
    <row r="2666" spans="1:20" hidden="1" x14ac:dyDescent="0.55000000000000004">
      <c r="A2666">
        <v>17</v>
      </c>
      <c r="B2666" s="15" t="str">
        <f t="shared" si="319"/>
        <v>17_6</v>
      </c>
      <c r="C2666" s="20">
        <v>46231.423611053244</v>
      </c>
      <c r="D2666" t="s">
        <v>172</v>
      </c>
      <c r="E2666">
        <v>2</v>
      </c>
      <c r="F2666" t="s">
        <v>167</v>
      </c>
      <c r="G2666" t="str">
        <f t="shared" si="320"/>
        <v>Gobiomorphus cotidianus</v>
      </c>
      <c r="H2666" t="str">
        <f t="shared" si="322"/>
        <v>Common_bully</v>
      </c>
      <c r="I2666" t="str">
        <f t="shared" si="323"/>
        <v>Toitoi</v>
      </c>
      <c r="J2666" t="str">
        <f t="shared" si="324"/>
        <v>Native</v>
      </c>
      <c r="K2666" t="str">
        <f t="shared" si="325"/>
        <v>No</v>
      </c>
      <c r="O2666">
        <v>304</v>
      </c>
      <c r="S2666">
        <v>1.5</v>
      </c>
      <c r="T2666">
        <f>IF(S2666&lt;&gt;"", S2666*236.588, "")</f>
        <v>354.88200000000001</v>
      </c>
    </row>
    <row r="2667" spans="1:20" hidden="1" x14ac:dyDescent="0.55000000000000004">
      <c r="A2667">
        <v>18</v>
      </c>
      <c r="B2667" s="15" t="str">
        <f t="shared" si="319"/>
        <v>18_6</v>
      </c>
      <c r="C2667" s="20">
        <v>46231.4375</v>
      </c>
      <c r="D2667" t="s">
        <v>166</v>
      </c>
      <c r="E2667">
        <v>2</v>
      </c>
      <c r="F2667" t="s">
        <v>167</v>
      </c>
      <c r="G2667" t="str">
        <f t="shared" si="320"/>
        <v>Gobiomorphus cotidianus</v>
      </c>
      <c r="H2667" t="str">
        <f t="shared" si="322"/>
        <v>Common_bully</v>
      </c>
      <c r="I2667" t="str">
        <f t="shared" si="323"/>
        <v>Toitoi</v>
      </c>
      <c r="J2667" t="str">
        <f t="shared" si="324"/>
        <v>Native</v>
      </c>
      <c r="K2667" t="str">
        <f t="shared" si="325"/>
        <v>No</v>
      </c>
      <c r="L2667">
        <v>4</v>
      </c>
      <c r="T2667" t="str">
        <f t="shared" si="321"/>
        <v/>
      </c>
    </row>
    <row r="2668" spans="1:20" x14ac:dyDescent="0.55000000000000004">
      <c r="A2668">
        <v>18</v>
      </c>
      <c r="B2668" s="15" t="str">
        <f t="shared" si="319"/>
        <v>18_6</v>
      </c>
      <c r="C2668" s="20">
        <v>46231.4375</v>
      </c>
      <c r="D2668" t="s">
        <v>172</v>
      </c>
      <c r="E2668">
        <v>2</v>
      </c>
      <c r="F2668" t="s">
        <v>168</v>
      </c>
      <c r="G2668" t="str">
        <f t="shared" si="320"/>
        <v>Paranephrops planifrons</v>
      </c>
      <c r="H2668" t="str">
        <f t="shared" si="322"/>
        <v>Freshwater_crayfish</v>
      </c>
      <c r="I2668" t="str">
        <f t="shared" si="323"/>
        <v>Kōura</v>
      </c>
      <c r="J2668" t="str">
        <f t="shared" si="324"/>
        <v>Native</v>
      </c>
      <c r="K2668" t="str">
        <f t="shared" si="325"/>
        <v>Yes</v>
      </c>
      <c r="L2668">
        <v>1</v>
      </c>
      <c r="M2668" t="s">
        <v>199</v>
      </c>
      <c r="N2668">
        <v>33</v>
      </c>
      <c r="O2668">
        <v>35</v>
      </c>
      <c r="T2668" t="str">
        <f t="shared" si="321"/>
        <v/>
      </c>
    </row>
    <row r="2669" spans="1:20" hidden="1" x14ac:dyDescent="0.55000000000000004">
      <c r="A2669">
        <v>18</v>
      </c>
      <c r="B2669" s="15" t="str">
        <f t="shared" si="319"/>
        <v>18_6</v>
      </c>
      <c r="C2669" s="20">
        <v>46231.4375</v>
      </c>
      <c r="D2669" t="s">
        <v>172</v>
      </c>
      <c r="E2669">
        <v>2</v>
      </c>
      <c r="F2669" t="s">
        <v>181</v>
      </c>
      <c r="G2669" t="str">
        <f t="shared" si="320"/>
        <v>Retropinna retropinna</v>
      </c>
      <c r="H2669" t="str">
        <f t="shared" si="322"/>
        <v>Common_smelt</v>
      </c>
      <c r="I2669" t="str">
        <f t="shared" si="323"/>
        <v>Common_smelt</v>
      </c>
      <c r="J2669" t="str">
        <f t="shared" si="324"/>
        <v>Native</v>
      </c>
      <c r="K2669" t="str">
        <f t="shared" si="325"/>
        <v>No</v>
      </c>
      <c r="L2669">
        <v>1</v>
      </c>
      <c r="T2669" t="str">
        <f t="shared" si="321"/>
        <v/>
      </c>
    </row>
    <row r="2670" spans="1:20" hidden="1" x14ac:dyDescent="0.55000000000000004">
      <c r="A2670">
        <v>18</v>
      </c>
      <c r="B2670" s="15" t="str">
        <f t="shared" si="319"/>
        <v>18_6</v>
      </c>
      <c r="C2670" s="20">
        <v>46231.4375</v>
      </c>
      <c r="D2670" t="s">
        <v>172</v>
      </c>
      <c r="E2670">
        <v>2</v>
      </c>
      <c r="F2670" t="s">
        <v>167</v>
      </c>
      <c r="G2670" t="str">
        <f t="shared" si="320"/>
        <v>Gobiomorphus cotidianus</v>
      </c>
      <c r="H2670" t="str">
        <f t="shared" si="322"/>
        <v>Common_bully</v>
      </c>
      <c r="I2670" t="str">
        <f t="shared" si="323"/>
        <v>Toitoi</v>
      </c>
      <c r="J2670" t="str">
        <f t="shared" si="324"/>
        <v>Native</v>
      </c>
      <c r="K2670" t="str">
        <f t="shared" si="325"/>
        <v>No</v>
      </c>
      <c r="O2670">
        <v>64</v>
      </c>
      <c r="T2670" t="str">
        <f t="shared" si="321"/>
        <v/>
      </c>
    </row>
    <row r="2671" spans="1:20" hidden="1" x14ac:dyDescent="0.55000000000000004">
      <c r="A2671">
        <v>18</v>
      </c>
      <c r="B2671" s="15" t="str">
        <f t="shared" si="319"/>
        <v>18_6</v>
      </c>
      <c r="C2671" s="20">
        <v>46231.4375</v>
      </c>
      <c r="D2671" t="s">
        <v>172</v>
      </c>
      <c r="E2671">
        <v>2</v>
      </c>
      <c r="F2671" t="s">
        <v>173</v>
      </c>
      <c r="G2671" t="s">
        <v>195</v>
      </c>
      <c r="H2671" t="s">
        <v>196</v>
      </c>
      <c r="I2671" t="s">
        <v>197</v>
      </c>
      <c r="J2671" t="s">
        <v>97</v>
      </c>
      <c r="K2671" t="s">
        <v>171</v>
      </c>
      <c r="L2671">
        <v>1</v>
      </c>
      <c r="N2671">
        <v>500</v>
      </c>
      <c r="T2671" t="str">
        <f t="shared" si="321"/>
        <v/>
      </c>
    </row>
    <row r="2672" spans="1:20" hidden="1" x14ac:dyDescent="0.55000000000000004">
      <c r="A2672">
        <v>18</v>
      </c>
      <c r="B2672" s="15" t="str">
        <f t="shared" si="319"/>
        <v>18_6</v>
      </c>
      <c r="C2672" s="20">
        <v>46231.4375</v>
      </c>
      <c r="D2672" t="s">
        <v>172</v>
      </c>
      <c r="E2672">
        <v>2</v>
      </c>
      <c r="F2672" t="s">
        <v>167</v>
      </c>
      <c r="G2672" t="str">
        <f t="shared" si="320"/>
        <v>Gobiomorphus cotidianus</v>
      </c>
      <c r="H2672" t="str">
        <f t="shared" si="322"/>
        <v>Common_bully</v>
      </c>
      <c r="I2672" t="str">
        <f t="shared" si="323"/>
        <v>Toitoi</v>
      </c>
      <c r="J2672" t="str">
        <f t="shared" si="324"/>
        <v>Native</v>
      </c>
      <c r="K2672" t="str">
        <f t="shared" si="325"/>
        <v>No</v>
      </c>
      <c r="O2672">
        <v>10</v>
      </c>
      <c r="T2672" t="str">
        <f t="shared" si="321"/>
        <v/>
      </c>
    </row>
    <row r="2673" spans="1:20" hidden="1" x14ac:dyDescent="0.55000000000000004">
      <c r="A2673">
        <v>19</v>
      </c>
      <c r="B2673" s="15" t="str">
        <f t="shared" ref="B2673:B2738" si="326">A2673 &amp; "_6"</f>
        <v>19_6</v>
      </c>
      <c r="C2673" s="20">
        <v>46231.479166666664</v>
      </c>
      <c r="D2673" t="s">
        <v>166</v>
      </c>
      <c r="E2673">
        <v>2</v>
      </c>
      <c r="F2673" t="s">
        <v>167</v>
      </c>
      <c r="G2673" t="str">
        <f t="shared" si="320"/>
        <v>Gobiomorphus cotidianus</v>
      </c>
      <c r="H2673" t="str">
        <f t="shared" si="322"/>
        <v>Common_bully</v>
      </c>
      <c r="I2673" t="str">
        <f t="shared" si="323"/>
        <v>Toitoi</v>
      </c>
      <c r="J2673" t="str">
        <f t="shared" si="324"/>
        <v>Native</v>
      </c>
      <c r="K2673" t="str">
        <f t="shared" si="325"/>
        <v>No</v>
      </c>
      <c r="O2673">
        <v>5</v>
      </c>
      <c r="T2673" t="str">
        <f t="shared" si="321"/>
        <v/>
      </c>
    </row>
    <row r="2674" spans="1:20" x14ac:dyDescent="0.55000000000000004">
      <c r="A2674">
        <v>19</v>
      </c>
      <c r="B2674" s="15" t="str">
        <f t="shared" si="326"/>
        <v>19_6</v>
      </c>
      <c r="C2674" s="20">
        <v>46231.479166666664</v>
      </c>
      <c r="D2674" t="s">
        <v>166</v>
      </c>
      <c r="E2674">
        <v>2</v>
      </c>
      <c r="F2674" t="s">
        <v>168</v>
      </c>
      <c r="G2674" t="str">
        <f t="shared" si="320"/>
        <v>Paranephrops planifrons</v>
      </c>
      <c r="H2674" t="str">
        <f t="shared" si="322"/>
        <v>Freshwater_crayfish</v>
      </c>
      <c r="I2674" t="str">
        <f t="shared" si="323"/>
        <v>Kōura</v>
      </c>
      <c r="J2674" t="str">
        <f t="shared" si="324"/>
        <v>Native</v>
      </c>
      <c r="K2674" t="str">
        <f t="shared" si="325"/>
        <v>Yes</v>
      </c>
      <c r="L2674">
        <v>1</v>
      </c>
      <c r="M2674" t="s">
        <v>199</v>
      </c>
      <c r="N2674">
        <v>32</v>
      </c>
      <c r="O2674">
        <v>34</v>
      </c>
      <c r="T2674" t="str">
        <f t="shared" si="321"/>
        <v/>
      </c>
    </row>
    <row r="2675" spans="1:20" x14ac:dyDescent="0.55000000000000004">
      <c r="A2675">
        <v>19</v>
      </c>
      <c r="B2675" s="15" t="str">
        <f t="shared" si="326"/>
        <v>19_6</v>
      </c>
      <c r="C2675" s="20">
        <v>46231.479166666664</v>
      </c>
      <c r="D2675" t="s">
        <v>166</v>
      </c>
      <c r="E2675">
        <v>2</v>
      </c>
      <c r="F2675" t="s">
        <v>168</v>
      </c>
      <c r="G2675" t="str">
        <f t="shared" si="320"/>
        <v>Paranephrops planifrons</v>
      </c>
      <c r="H2675" t="str">
        <f t="shared" si="322"/>
        <v>Freshwater_crayfish</v>
      </c>
      <c r="I2675" t="str">
        <f t="shared" si="323"/>
        <v>Kōura</v>
      </c>
      <c r="J2675" t="str">
        <f t="shared" si="324"/>
        <v>Native</v>
      </c>
      <c r="K2675" t="str">
        <f t="shared" si="325"/>
        <v>Yes</v>
      </c>
      <c r="L2675">
        <v>1</v>
      </c>
      <c r="M2675" t="s">
        <v>199</v>
      </c>
      <c r="N2675">
        <v>33</v>
      </c>
      <c r="O2675">
        <v>25</v>
      </c>
      <c r="T2675" t="str">
        <f t="shared" si="321"/>
        <v/>
      </c>
    </row>
    <row r="2676" spans="1:20" x14ac:dyDescent="0.55000000000000004">
      <c r="A2676">
        <v>19</v>
      </c>
      <c r="B2676" s="15" t="str">
        <f t="shared" si="326"/>
        <v>19_6</v>
      </c>
      <c r="C2676" s="20">
        <v>46231.479166666664</v>
      </c>
      <c r="D2676" t="s">
        <v>166</v>
      </c>
      <c r="E2676">
        <v>2</v>
      </c>
      <c r="F2676" t="s">
        <v>168</v>
      </c>
      <c r="G2676" t="str">
        <f t="shared" si="320"/>
        <v>Paranephrops planifrons</v>
      </c>
      <c r="H2676" t="str">
        <f t="shared" si="322"/>
        <v>Freshwater_crayfish</v>
      </c>
      <c r="I2676" t="str">
        <f t="shared" si="323"/>
        <v>Kōura</v>
      </c>
      <c r="J2676" t="str">
        <f t="shared" si="324"/>
        <v>Native</v>
      </c>
      <c r="K2676" t="str">
        <f t="shared" si="325"/>
        <v>Yes</v>
      </c>
      <c r="L2676">
        <v>1</v>
      </c>
      <c r="M2676" t="s">
        <v>198</v>
      </c>
      <c r="N2676">
        <v>30</v>
      </c>
      <c r="O2676">
        <v>20</v>
      </c>
      <c r="T2676" t="str">
        <f t="shared" si="321"/>
        <v/>
      </c>
    </row>
    <row r="2677" spans="1:20" hidden="1" x14ac:dyDescent="0.55000000000000004">
      <c r="A2677">
        <v>19</v>
      </c>
      <c r="B2677" s="15" t="str">
        <f t="shared" si="326"/>
        <v>19_6</v>
      </c>
      <c r="C2677" s="20">
        <v>46231.479166666664</v>
      </c>
      <c r="D2677" t="s">
        <v>172</v>
      </c>
      <c r="E2677">
        <v>2</v>
      </c>
      <c r="F2677" t="s">
        <v>182</v>
      </c>
      <c r="G2677" t="str">
        <f t="shared" si="320"/>
        <v>Galaxias brevipinnis</v>
      </c>
      <c r="H2677" t="str">
        <f t="shared" si="322"/>
        <v>Climbing_galaxias</v>
      </c>
      <c r="I2677" t="str">
        <f t="shared" si="323"/>
        <v>Kōaro</v>
      </c>
      <c r="J2677" t="str">
        <f t="shared" si="324"/>
        <v>Native</v>
      </c>
      <c r="K2677" t="str">
        <f t="shared" si="325"/>
        <v>Yes</v>
      </c>
      <c r="L2677">
        <v>1</v>
      </c>
      <c r="N2677">
        <v>110</v>
      </c>
      <c r="O2677">
        <v>15</v>
      </c>
      <c r="T2677" t="str">
        <f t="shared" si="321"/>
        <v/>
      </c>
    </row>
    <row r="2678" spans="1:20" hidden="1" x14ac:dyDescent="0.55000000000000004">
      <c r="A2678">
        <v>19</v>
      </c>
      <c r="B2678" s="15" t="str">
        <f t="shared" si="326"/>
        <v>19_6</v>
      </c>
      <c r="C2678" s="20">
        <v>46231.479166666664</v>
      </c>
      <c r="D2678" t="s">
        <v>172</v>
      </c>
      <c r="E2678">
        <v>2</v>
      </c>
      <c r="F2678" t="s">
        <v>182</v>
      </c>
      <c r="G2678" t="str">
        <f t="shared" ref="G2678:G2741" si="327">VLOOKUP($F2678, $W$1:$AB$10, 2, FALSE)</f>
        <v>Galaxias brevipinnis</v>
      </c>
      <c r="H2678" t="str">
        <f t="shared" si="322"/>
        <v>Climbing_galaxias</v>
      </c>
      <c r="I2678" t="str">
        <f t="shared" si="323"/>
        <v>Kōaro</v>
      </c>
      <c r="J2678" t="str">
        <f t="shared" si="324"/>
        <v>Native</v>
      </c>
      <c r="K2678" t="str">
        <f t="shared" si="325"/>
        <v>Yes</v>
      </c>
      <c r="L2678">
        <v>1</v>
      </c>
      <c r="N2678">
        <v>110</v>
      </c>
      <c r="O2678">
        <v>14</v>
      </c>
      <c r="T2678" t="str">
        <f t="shared" si="321"/>
        <v/>
      </c>
    </row>
    <row r="2679" spans="1:20" hidden="1" x14ac:dyDescent="0.55000000000000004">
      <c r="A2679">
        <v>19</v>
      </c>
      <c r="B2679" s="15" t="str">
        <f t="shared" si="326"/>
        <v>19_6</v>
      </c>
      <c r="C2679" s="20">
        <v>46231.479166666664</v>
      </c>
      <c r="D2679" t="s">
        <v>172</v>
      </c>
      <c r="E2679">
        <v>2</v>
      </c>
      <c r="F2679" t="s">
        <v>182</v>
      </c>
      <c r="G2679" t="str">
        <f t="shared" si="327"/>
        <v>Galaxias brevipinnis</v>
      </c>
      <c r="H2679" t="str">
        <f t="shared" si="322"/>
        <v>Climbing_galaxias</v>
      </c>
      <c r="I2679" t="str">
        <f t="shared" si="323"/>
        <v>Kōaro</v>
      </c>
      <c r="J2679" t="str">
        <f t="shared" si="324"/>
        <v>Native</v>
      </c>
      <c r="K2679" t="str">
        <f t="shared" si="325"/>
        <v>Yes</v>
      </c>
      <c r="L2679">
        <v>1</v>
      </c>
      <c r="N2679">
        <v>10</v>
      </c>
      <c r="O2679">
        <v>30</v>
      </c>
      <c r="T2679" t="str">
        <f t="shared" si="321"/>
        <v/>
      </c>
    </row>
    <row r="2680" spans="1:20" hidden="1" x14ac:dyDescent="0.55000000000000004">
      <c r="A2680">
        <v>19</v>
      </c>
      <c r="B2680" s="15" t="str">
        <f t="shared" si="326"/>
        <v>19_6</v>
      </c>
      <c r="C2680" s="20">
        <v>46231.479166666664</v>
      </c>
      <c r="D2680" t="s">
        <v>172</v>
      </c>
      <c r="E2680">
        <v>2</v>
      </c>
      <c r="F2680" t="s">
        <v>182</v>
      </c>
      <c r="G2680" t="str">
        <f t="shared" si="327"/>
        <v>Galaxias brevipinnis</v>
      </c>
      <c r="H2680" t="str">
        <f t="shared" si="322"/>
        <v>Climbing_galaxias</v>
      </c>
      <c r="I2680" t="str">
        <f t="shared" si="323"/>
        <v>Kōaro</v>
      </c>
      <c r="J2680" t="str">
        <f t="shared" si="324"/>
        <v>Native</v>
      </c>
      <c r="K2680" t="str">
        <f t="shared" si="325"/>
        <v>Yes</v>
      </c>
      <c r="L2680">
        <v>1</v>
      </c>
      <c r="N2680">
        <v>100</v>
      </c>
      <c r="O2680">
        <v>10</v>
      </c>
      <c r="T2680" t="str">
        <f t="shared" si="321"/>
        <v/>
      </c>
    </row>
    <row r="2681" spans="1:20" hidden="1" x14ac:dyDescent="0.55000000000000004">
      <c r="A2681">
        <v>19</v>
      </c>
      <c r="B2681" s="15" t="str">
        <f t="shared" si="326"/>
        <v>19_6</v>
      </c>
      <c r="C2681" s="20">
        <v>46231.479166666664</v>
      </c>
      <c r="D2681" t="s">
        <v>172</v>
      </c>
      <c r="E2681">
        <v>2</v>
      </c>
      <c r="F2681" t="s">
        <v>182</v>
      </c>
      <c r="G2681" t="str">
        <f t="shared" si="327"/>
        <v>Galaxias brevipinnis</v>
      </c>
      <c r="H2681" t="str">
        <f t="shared" si="322"/>
        <v>Climbing_galaxias</v>
      </c>
      <c r="I2681" t="str">
        <f t="shared" si="323"/>
        <v>Kōaro</v>
      </c>
      <c r="J2681" t="str">
        <f t="shared" si="324"/>
        <v>Native</v>
      </c>
      <c r="K2681" t="str">
        <f t="shared" si="325"/>
        <v>Yes</v>
      </c>
      <c r="L2681">
        <v>1</v>
      </c>
      <c r="N2681">
        <v>110</v>
      </c>
      <c r="O2681">
        <v>12</v>
      </c>
      <c r="T2681" t="str">
        <f t="shared" si="321"/>
        <v/>
      </c>
    </row>
    <row r="2682" spans="1:20" hidden="1" x14ac:dyDescent="0.55000000000000004">
      <c r="A2682">
        <v>19</v>
      </c>
      <c r="B2682" s="15" t="str">
        <f t="shared" si="326"/>
        <v>19_6</v>
      </c>
      <c r="C2682" s="20">
        <v>46231.479166608799</v>
      </c>
      <c r="D2682" t="s">
        <v>172</v>
      </c>
      <c r="E2682">
        <v>2</v>
      </c>
      <c r="F2682" t="s">
        <v>182</v>
      </c>
      <c r="G2682" t="str">
        <f t="shared" si="327"/>
        <v>Galaxias brevipinnis</v>
      </c>
      <c r="H2682" t="str">
        <f t="shared" si="322"/>
        <v>Climbing_galaxias</v>
      </c>
      <c r="I2682" t="str">
        <f t="shared" si="323"/>
        <v>Kōaro</v>
      </c>
      <c r="J2682" t="str">
        <f t="shared" si="324"/>
        <v>Native</v>
      </c>
      <c r="K2682" t="str">
        <f t="shared" si="325"/>
        <v>Yes</v>
      </c>
      <c r="L2682">
        <v>1</v>
      </c>
      <c r="N2682">
        <v>100</v>
      </c>
      <c r="O2682">
        <v>11</v>
      </c>
      <c r="T2682" t="str">
        <f t="shared" si="321"/>
        <v/>
      </c>
    </row>
    <row r="2683" spans="1:20" hidden="1" x14ac:dyDescent="0.55000000000000004">
      <c r="A2683">
        <v>19</v>
      </c>
      <c r="B2683" s="15" t="str">
        <f t="shared" si="326"/>
        <v>19_6</v>
      </c>
      <c r="C2683" s="20">
        <v>46231.479166608799</v>
      </c>
      <c r="D2683" t="s">
        <v>172</v>
      </c>
      <c r="E2683">
        <v>2</v>
      </c>
      <c r="F2683" t="s">
        <v>182</v>
      </c>
      <c r="G2683" t="str">
        <f t="shared" si="327"/>
        <v>Galaxias brevipinnis</v>
      </c>
      <c r="H2683" t="str">
        <f t="shared" si="322"/>
        <v>Climbing_galaxias</v>
      </c>
      <c r="I2683" t="str">
        <f t="shared" si="323"/>
        <v>Kōaro</v>
      </c>
      <c r="J2683" t="str">
        <f t="shared" si="324"/>
        <v>Native</v>
      </c>
      <c r="K2683" t="str">
        <f t="shared" si="325"/>
        <v>Yes</v>
      </c>
      <c r="L2683">
        <v>1</v>
      </c>
      <c r="N2683">
        <v>95</v>
      </c>
      <c r="O2683">
        <v>7</v>
      </c>
      <c r="T2683" t="str">
        <f t="shared" si="321"/>
        <v/>
      </c>
    </row>
    <row r="2684" spans="1:20" hidden="1" x14ac:dyDescent="0.55000000000000004">
      <c r="A2684">
        <v>19</v>
      </c>
      <c r="B2684" s="15" t="str">
        <f t="shared" si="326"/>
        <v>19_6</v>
      </c>
      <c r="C2684" s="20">
        <v>46231.479166608799</v>
      </c>
      <c r="D2684" t="s">
        <v>172</v>
      </c>
      <c r="E2684">
        <v>2</v>
      </c>
      <c r="F2684" t="s">
        <v>182</v>
      </c>
      <c r="G2684" t="str">
        <f t="shared" si="327"/>
        <v>Galaxias brevipinnis</v>
      </c>
      <c r="H2684" t="str">
        <f t="shared" si="322"/>
        <v>Climbing_galaxias</v>
      </c>
      <c r="I2684" t="str">
        <f t="shared" si="323"/>
        <v>Kōaro</v>
      </c>
      <c r="J2684" t="str">
        <f t="shared" si="324"/>
        <v>Native</v>
      </c>
      <c r="K2684" t="str">
        <f t="shared" si="325"/>
        <v>Yes</v>
      </c>
      <c r="L2684">
        <v>1</v>
      </c>
      <c r="N2684">
        <v>120</v>
      </c>
      <c r="O2684">
        <v>18</v>
      </c>
      <c r="T2684" t="str">
        <f t="shared" si="321"/>
        <v/>
      </c>
    </row>
    <row r="2685" spans="1:20" hidden="1" x14ac:dyDescent="0.55000000000000004">
      <c r="A2685">
        <v>19</v>
      </c>
      <c r="B2685" s="15" t="str">
        <f t="shared" si="326"/>
        <v>19_6</v>
      </c>
      <c r="C2685" s="20">
        <v>46231.479166608799</v>
      </c>
      <c r="D2685" t="s">
        <v>172</v>
      </c>
      <c r="E2685">
        <v>2</v>
      </c>
      <c r="F2685" t="s">
        <v>182</v>
      </c>
      <c r="G2685" t="str">
        <f t="shared" si="327"/>
        <v>Galaxias brevipinnis</v>
      </c>
      <c r="H2685" t="str">
        <f t="shared" si="322"/>
        <v>Climbing_galaxias</v>
      </c>
      <c r="I2685" t="str">
        <f t="shared" si="323"/>
        <v>Kōaro</v>
      </c>
      <c r="J2685" t="str">
        <f t="shared" si="324"/>
        <v>Native</v>
      </c>
      <c r="K2685" t="str">
        <f t="shared" si="325"/>
        <v>Yes</v>
      </c>
      <c r="L2685">
        <v>1</v>
      </c>
      <c r="N2685">
        <v>100</v>
      </c>
      <c r="O2685">
        <v>10</v>
      </c>
      <c r="T2685" t="str">
        <f t="shared" si="321"/>
        <v/>
      </c>
    </row>
    <row r="2686" spans="1:20" hidden="1" x14ac:dyDescent="0.55000000000000004">
      <c r="A2686">
        <v>19</v>
      </c>
      <c r="B2686" s="15" t="str">
        <f t="shared" si="326"/>
        <v>19_6</v>
      </c>
      <c r="C2686" s="20">
        <v>46231.479166608799</v>
      </c>
      <c r="D2686" t="s">
        <v>172</v>
      </c>
      <c r="E2686">
        <v>2</v>
      </c>
      <c r="F2686" t="s">
        <v>182</v>
      </c>
      <c r="G2686" t="str">
        <f t="shared" si="327"/>
        <v>Galaxias brevipinnis</v>
      </c>
      <c r="H2686" t="str">
        <f t="shared" si="322"/>
        <v>Climbing_galaxias</v>
      </c>
      <c r="I2686" t="str">
        <f t="shared" si="323"/>
        <v>Kōaro</v>
      </c>
      <c r="J2686" t="str">
        <f t="shared" si="324"/>
        <v>Native</v>
      </c>
      <c r="K2686" t="str">
        <f t="shared" si="325"/>
        <v>Yes</v>
      </c>
      <c r="L2686">
        <v>1</v>
      </c>
      <c r="N2686">
        <v>90</v>
      </c>
      <c r="O2686">
        <v>6</v>
      </c>
      <c r="T2686" t="str">
        <f t="shared" si="321"/>
        <v/>
      </c>
    </row>
    <row r="2687" spans="1:20" hidden="1" x14ac:dyDescent="0.55000000000000004">
      <c r="A2687">
        <v>19</v>
      </c>
      <c r="B2687" s="15" t="str">
        <f t="shared" si="326"/>
        <v>19_6</v>
      </c>
      <c r="C2687" s="20">
        <v>46231.479166608799</v>
      </c>
      <c r="D2687" t="s">
        <v>172</v>
      </c>
      <c r="E2687">
        <v>2</v>
      </c>
      <c r="F2687" t="s">
        <v>182</v>
      </c>
      <c r="G2687" t="str">
        <f t="shared" si="327"/>
        <v>Galaxias brevipinnis</v>
      </c>
      <c r="H2687" t="str">
        <f t="shared" si="322"/>
        <v>Climbing_galaxias</v>
      </c>
      <c r="I2687" t="str">
        <f t="shared" si="323"/>
        <v>Kōaro</v>
      </c>
      <c r="J2687" t="str">
        <f t="shared" si="324"/>
        <v>Native</v>
      </c>
      <c r="K2687" t="str">
        <f t="shared" si="325"/>
        <v>Yes</v>
      </c>
      <c r="L2687">
        <v>1</v>
      </c>
      <c r="N2687">
        <v>100</v>
      </c>
      <c r="O2687">
        <v>10</v>
      </c>
      <c r="T2687" t="str">
        <f t="shared" si="321"/>
        <v/>
      </c>
    </row>
    <row r="2688" spans="1:20" hidden="1" x14ac:dyDescent="0.55000000000000004">
      <c r="A2688">
        <v>19</v>
      </c>
      <c r="B2688" s="15" t="str">
        <f t="shared" si="326"/>
        <v>19_6</v>
      </c>
      <c r="C2688" s="20">
        <v>46231.479166608799</v>
      </c>
      <c r="D2688" t="s">
        <v>172</v>
      </c>
      <c r="E2688">
        <v>2</v>
      </c>
      <c r="F2688" t="s">
        <v>182</v>
      </c>
      <c r="G2688" t="str">
        <f t="shared" si="327"/>
        <v>Galaxias brevipinnis</v>
      </c>
      <c r="H2688" t="str">
        <f t="shared" si="322"/>
        <v>Climbing_galaxias</v>
      </c>
      <c r="I2688" t="str">
        <f t="shared" si="323"/>
        <v>Kōaro</v>
      </c>
      <c r="J2688" t="str">
        <f t="shared" si="324"/>
        <v>Native</v>
      </c>
      <c r="K2688" t="str">
        <f t="shared" si="325"/>
        <v>Yes</v>
      </c>
      <c r="L2688">
        <v>1</v>
      </c>
      <c r="N2688">
        <v>95</v>
      </c>
      <c r="O2688">
        <v>10</v>
      </c>
      <c r="T2688" t="str">
        <f t="shared" si="321"/>
        <v/>
      </c>
    </row>
    <row r="2689" spans="1:20" hidden="1" x14ac:dyDescent="0.55000000000000004">
      <c r="A2689">
        <v>19</v>
      </c>
      <c r="B2689" s="15" t="str">
        <f t="shared" si="326"/>
        <v>19_6</v>
      </c>
      <c r="C2689" s="20">
        <v>46231.479166608799</v>
      </c>
      <c r="D2689" t="s">
        <v>172</v>
      </c>
      <c r="E2689">
        <v>2</v>
      </c>
      <c r="F2689" t="s">
        <v>182</v>
      </c>
      <c r="G2689" t="str">
        <f t="shared" si="327"/>
        <v>Galaxias brevipinnis</v>
      </c>
      <c r="H2689" t="str">
        <f t="shared" si="322"/>
        <v>Climbing_galaxias</v>
      </c>
      <c r="I2689" t="str">
        <f t="shared" si="323"/>
        <v>Kōaro</v>
      </c>
      <c r="J2689" t="str">
        <f t="shared" si="324"/>
        <v>Native</v>
      </c>
      <c r="K2689" t="str">
        <f t="shared" si="325"/>
        <v>Yes</v>
      </c>
      <c r="L2689">
        <v>1</v>
      </c>
      <c r="N2689">
        <v>100</v>
      </c>
      <c r="O2689">
        <v>10</v>
      </c>
      <c r="T2689" t="str">
        <f t="shared" si="321"/>
        <v/>
      </c>
    </row>
    <row r="2690" spans="1:20" hidden="1" x14ac:dyDescent="0.55000000000000004">
      <c r="A2690">
        <v>19</v>
      </c>
      <c r="B2690" s="15" t="str">
        <f t="shared" si="326"/>
        <v>19_6</v>
      </c>
      <c r="C2690" s="20">
        <v>46231.479166608799</v>
      </c>
      <c r="D2690" t="s">
        <v>172</v>
      </c>
      <c r="E2690">
        <v>2</v>
      </c>
      <c r="F2690" t="s">
        <v>182</v>
      </c>
      <c r="G2690" t="str">
        <f t="shared" si="327"/>
        <v>Galaxias brevipinnis</v>
      </c>
      <c r="H2690" t="str">
        <f t="shared" si="322"/>
        <v>Climbing_galaxias</v>
      </c>
      <c r="I2690" t="str">
        <f t="shared" si="323"/>
        <v>Kōaro</v>
      </c>
      <c r="J2690" t="str">
        <f t="shared" si="324"/>
        <v>Native</v>
      </c>
      <c r="K2690" t="str">
        <f t="shared" si="325"/>
        <v>Yes</v>
      </c>
      <c r="L2690">
        <v>1</v>
      </c>
      <c r="N2690">
        <v>90</v>
      </c>
      <c r="O2690">
        <v>8</v>
      </c>
      <c r="T2690" t="str">
        <f t="shared" si="321"/>
        <v/>
      </c>
    </row>
    <row r="2691" spans="1:20" hidden="1" x14ac:dyDescent="0.55000000000000004">
      <c r="A2691">
        <v>19</v>
      </c>
      <c r="B2691" s="15" t="str">
        <f t="shared" si="326"/>
        <v>19_6</v>
      </c>
      <c r="C2691" s="20">
        <v>46231.479166608799</v>
      </c>
      <c r="D2691" t="s">
        <v>172</v>
      </c>
      <c r="E2691">
        <v>2</v>
      </c>
      <c r="F2691" t="s">
        <v>182</v>
      </c>
      <c r="G2691" t="str">
        <f t="shared" si="327"/>
        <v>Galaxias brevipinnis</v>
      </c>
      <c r="H2691" t="str">
        <f t="shared" si="322"/>
        <v>Climbing_galaxias</v>
      </c>
      <c r="I2691" t="str">
        <f t="shared" si="323"/>
        <v>Kōaro</v>
      </c>
      <c r="J2691" t="str">
        <f t="shared" si="324"/>
        <v>Native</v>
      </c>
      <c r="K2691" t="str">
        <f t="shared" si="325"/>
        <v>Yes</v>
      </c>
      <c r="L2691">
        <v>1</v>
      </c>
      <c r="N2691">
        <v>100</v>
      </c>
      <c r="O2691">
        <v>10</v>
      </c>
      <c r="T2691" t="str">
        <f t="shared" si="321"/>
        <v/>
      </c>
    </row>
    <row r="2692" spans="1:20" hidden="1" x14ac:dyDescent="0.55000000000000004">
      <c r="A2692">
        <v>19</v>
      </c>
      <c r="B2692" s="15" t="str">
        <f t="shared" si="326"/>
        <v>19_6</v>
      </c>
      <c r="C2692" s="20">
        <v>46231.479166608799</v>
      </c>
      <c r="D2692" t="s">
        <v>172</v>
      </c>
      <c r="E2692">
        <v>2</v>
      </c>
      <c r="F2692" t="s">
        <v>182</v>
      </c>
      <c r="G2692" t="str">
        <f t="shared" si="327"/>
        <v>Galaxias brevipinnis</v>
      </c>
      <c r="H2692" t="str">
        <f t="shared" si="322"/>
        <v>Climbing_galaxias</v>
      </c>
      <c r="I2692" t="str">
        <f t="shared" si="323"/>
        <v>Kōaro</v>
      </c>
      <c r="J2692" t="str">
        <f t="shared" si="324"/>
        <v>Native</v>
      </c>
      <c r="K2692" t="str">
        <f t="shared" si="325"/>
        <v>Yes</v>
      </c>
      <c r="L2692">
        <v>1</v>
      </c>
      <c r="N2692">
        <v>95</v>
      </c>
      <c r="O2692">
        <v>10</v>
      </c>
      <c r="T2692" t="str">
        <f t="shared" ref="T2692:T2754" si="328">IF(S2692&lt;&gt;"", S2692*236.588, "")</f>
        <v/>
      </c>
    </row>
    <row r="2693" spans="1:20" hidden="1" x14ac:dyDescent="0.55000000000000004">
      <c r="A2693">
        <v>19</v>
      </c>
      <c r="B2693" s="15" t="str">
        <f t="shared" si="326"/>
        <v>19_6</v>
      </c>
      <c r="C2693" s="20">
        <v>46231.479166608799</v>
      </c>
      <c r="D2693" t="s">
        <v>172</v>
      </c>
      <c r="E2693">
        <v>2</v>
      </c>
      <c r="F2693" t="s">
        <v>182</v>
      </c>
      <c r="G2693" t="str">
        <f t="shared" si="327"/>
        <v>Galaxias brevipinnis</v>
      </c>
      <c r="H2693" t="str">
        <f t="shared" si="322"/>
        <v>Climbing_galaxias</v>
      </c>
      <c r="I2693" t="str">
        <f t="shared" si="323"/>
        <v>Kōaro</v>
      </c>
      <c r="J2693" t="str">
        <f t="shared" si="324"/>
        <v>Native</v>
      </c>
      <c r="K2693" t="str">
        <f t="shared" si="325"/>
        <v>Yes</v>
      </c>
      <c r="L2693">
        <v>1</v>
      </c>
      <c r="N2693">
        <v>90</v>
      </c>
      <c r="O2693">
        <v>6</v>
      </c>
      <c r="T2693" t="str">
        <f t="shared" si="328"/>
        <v/>
      </c>
    </row>
    <row r="2694" spans="1:20" x14ac:dyDescent="0.55000000000000004">
      <c r="A2694">
        <v>19</v>
      </c>
      <c r="B2694" s="15" t="str">
        <f t="shared" si="326"/>
        <v>19_6</v>
      </c>
      <c r="C2694" s="20">
        <v>46231.479166608799</v>
      </c>
      <c r="D2694" t="s">
        <v>172</v>
      </c>
      <c r="E2694">
        <v>2</v>
      </c>
      <c r="F2694" t="s">
        <v>168</v>
      </c>
      <c r="G2694" t="str">
        <f t="shared" si="327"/>
        <v>Paranephrops planifrons</v>
      </c>
      <c r="H2694" t="str">
        <f t="shared" si="322"/>
        <v>Freshwater_crayfish</v>
      </c>
      <c r="I2694" t="str">
        <f t="shared" si="323"/>
        <v>Kōura</v>
      </c>
      <c r="J2694" t="str">
        <f t="shared" si="324"/>
        <v>Native</v>
      </c>
      <c r="K2694" t="str">
        <f t="shared" si="325"/>
        <v>Yes</v>
      </c>
      <c r="L2694">
        <v>1</v>
      </c>
      <c r="M2694" t="s">
        <v>199</v>
      </c>
      <c r="N2694">
        <v>33</v>
      </c>
      <c r="O2694">
        <v>25</v>
      </c>
      <c r="T2694" t="str">
        <f t="shared" si="328"/>
        <v/>
      </c>
    </row>
    <row r="2695" spans="1:20" x14ac:dyDescent="0.55000000000000004">
      <c r="A2695">
        <v>19</v>
      </c>
      <c r="B2695" s="15" t="str">
        <f t="shared" si="326"/>
        <v>19_6</v>
      </c>
      <c r="C2695" s="20">
        <v>46231.479166608799</v>
      </c>
      <c r="D2695" t="s">
        <v>172</v>
      </c>
      <c r="E2695">
        <v>2</v>
      </c>
      <c r="F2695" t="s">
        <v>168</v>
      </c>
      <c r="G2695" t="str">
        <f t="shared" si="327"/>
        <v>Paranephrops planifrons</v>
      </c>
      <c r="H2695" t="str">
        <f t="shared" si="322"/>
        <v>Freshwater_crayfish</v>
      </c>
      <c r="I2695" t="str">
        <f t="shared" si="323"/>
        <v>Kōura</v>
      </c>
      <c r="J2695" t="str">
        <f t="shared" si="324"/>
        <v>Native</v>
      </c>
      <c r="K2695" t="str">
        <f t="shared" si="325"/>
        <v>Yes</v>
      </c>
      <c r="L2695">
        <v>1</v>
      </c>
      <c r="M2695" t="s">
        <v>199</v>
      </c>
      <c r="N2695">
        <v>21</v>
      </c>
      <c r="O2695">
        <v>6</v>
      </c>
      <c r="T2695" t="str">
        <f t="shared" si="328"/>
        <v/>
      </c>
    </row>
    <row r="2696" spans="1:20" x14ac:dyDescent="0.55000000000000004">
      <c r="A2696">
        <v>19</v>
      </c>
      <c r="B2696" s="15" t="str">
        <f t="shared" si="326"/>
        <v>19_6</v>
      </c>
      <c r="C2696" s="20">
        <v>46231.479166608799</v>
      </c>
      <c r="D2696" t="s">
        <v>172</v>
      </c>
      <c r="E2696">
        <v>2</v>
      </c>
      <c r="F2696" t="s">
        <v>168</v>
      </c>
      <c r="G2696" t="str">
        <f t="shared" si="327"/>
        <v>Paranephrops planifrons</v>
      </c>
      <c r="H2696" t="str">
        <f t="shared" si="322"/>
        <v>Freshwater_crayfish</v>
      </c>
      <c r="I2696" t="str">
        <f t="shared" si="323"/>
        <v>Kōura</v>
      </c>
      <c r="J2696" t="str">
        <f t="shared" si="324"/>
        <v>Native</v>
      </c>
      <c r="K2696" t="str">
        <f t="shared" si="325"/>
        <v>Yes</v>
      </c>
      <c r="L2696">
        <v>1</v>
      </c>
      <c r="M2696" t="s">
        <v>198</v>
      </c>
      <c r="N2696">
        <v>28</v>
      </c>
      <c r="O2696">
        <v>13</v>
      </c>
      <c r="T2696" t="str">
        <f t="shared" si="328"/>
        <v/>
      </c>
    </row>
    <row r="2697" spans="1:20" x14ac:dyDescent="0.55000000000000004">
      <c r="A2697">
        <v>19</v>
      </c>
      <c r="B2697" s="15" t="str">
        <f t="shared" si="326"/>
        <v>19_6</v>
      </c>
      <c r="C2697" s="20">
        <v>46231.479166608799</v>
      </c>
      <c r="D2697" t="s">
        <v>172</v>
      </c>
      <c r="E2697">
        <v>2</v>
      </c>
      <c r="F2697" t="s">
        <v>168</v>
      </c>
      <c r="G2697" t="str">
        <f t="shared" si="327"/>
        <v>Paranephrops planifrons</v>
      </c>
      <c r="H2697" t="str">
        <f t="shared" si="322"/>
        <v>Freshwater_crayfish</v>
      </c>
      <c r="I2697" t="str">
        <f t="shared" si="323"/>
        <v>Kōura</v>
      </c>
      <c r="J2697" t="str">
        <f t="shared" si="324"/>
        <v>Native</v>
      </c>
      <c r="K2697" t="str">
        <f t="shared" si="325"/>
        <v>Yes</v>
      </c>
      <c r="L2697">
        <v>1</v>
      </c>
      <c r="M2697" t="s">
        <v>198</v>
      </c>
      <c r="N2697">
        <v>26</v>
      </c>
      <c r="O2697">
        <v>14</v>
      </c>
      <c r="T2697" t="str">
        <f t="shared" si="328"/>
        <v/>
      </c>
    </row>
    <row r="2698" spans="1:20" x14ac:dyDescent="0.55000000000000004">
      <c r="A2698">
        <v>19</v>
      </c>
      <c r="B2698" s="15" t="str">
        <f t="shared" si="326"/>
        <v>19_6</v>
      </c>
      <c r="C2698" s="20">
        <v>46231.479166608799</v>
      </c>
      <c r="D2698" t="s">
        <v>172</v>
      </c>
      <c r="E2698">
        <v>2</v>
      </c>
      <c r="F2698" t="s">
        <v>168</v>
      </c>
      <c r="G2698" t="str">
        <f t="shared" si="327"/>
        <v>Paranephrops planifrons</v>
      </c>
      <c r="H2698" t="str">
        <f t="shared" si="322"/>
        <v>Freshwater_crayfish</v>
      </c>
      <c r="I2698" t="str">
        <f t="shared" si="323"/>
        <v>Kōura</v>
      </c>
      <c r="J2698" t="str">
        <f t="shared" si="324"/>
        <v>Native</v>
      </c>
      <c r="K2698" t="str">
        <f t="shared" si="325"/>
        <v>Yes</v>
      </c>
      <c r="L2698">
        <v>1</v>
      </c>
      <c r="M2698" t="s">
        <v>199</v>
      </c>
      <c r="N2698">
        <v>20</v>
      </c>
      <c r="O2698">
        <v>7</v>
      </c>
      <c r="T2698" t="str">
        <f t="shared" si="328"/>
        <v/>
      </c>
    </row>
    <row r="2699" spans="1:20" x14ac:dyDescent="0.55000000000000004">
      <c r="A2699">
        <v>19</v>
      </c>
      <c r="B2699" s="15" t="str">
        <f t="shared" si="326"/>
        <v>19_6</v>
      </c>
      <c r="C2699" s="20">
        <v>46231.479166608799</v>
      </c>
      <c r="D2699" t="s">
        <v>172</v>
      </c>
      <c r="E2699">
        <v>2</v>
      </c>
      <c r="F2699" t="s">
        <v>168</v>
      </c>
      <c r="G2699" t="str">
        <f t="shared" si="327"/>
        <v>Paranephrops planifrons</v>
      </c>
      <c r="H2699" t="str">
        <f t="shared" si="322"/>
        <v>Freshwater_crayfish</v>
      </c>
      <c r="I2699" t="str">
        <f t="shared" si="323"/>
        <v>Kōura</v>
      </c>
      <c r="J2699" t="str">
        <f t="shared" si="324"/>
        <v>Native</v>
      </c>
      <c r="K2699" t="str">
        <f t="shared" si="325"/>
        <v>Yes</v>
      </c>
      <c r="L2699">
        <v>1</v>
      </c>
      <c r="M2699" t="s">
        <v>198</v>
      </c>
      <c r="N2699">
        <v>19</v>
      </c>
      <c r="O2699">
        <v>6</v>
      </c>
      <c r="T2699" t="str">
        <f t="shared" si="328"/>
        <v/>
      </c>
    </row>
    <row r="2700" spans="1:20" x14ac:dyDescent="0.55000000000000004">
      <c r="A2700">
        <v>19</v>
      </c>
      <c r="B2700" s="15" t="str">
        <f t="shared" si="326"/>
        <v>19_6</v>
      </c>
      <c r="C2700" s="20">
        <v>46231.479166608799</v>
      </c>
      <c r="D2700" t="s">
        <v>172</v>
      </c>
      <c r="E2700">
        <v>2</v>
      </c>
      <c r="F2700" t="s">
        <v>168</v>
      </c>
      <c r="G2700" t="str">
        <f t="shared" si="327"/>
        <v>Paranephrops planifrons</v>
      </c>
      <c r="H2700" t="str">
        <f t="shared" si="322"/>
        <v>Freshwater_crayfish</v>
      </c>
      <c r="I2700" t="str">
        <f t="shared" si="323"/>
        <v>Kōura</v>
      </c>
      <c r="J2700" t="str">
        <f t="shared" si="324"/>
        <v>Native</v>
      </c>
      <c r="K2700" t="str">
        <f t="shared" si="325"/>
        <v>Yes</v>
      </c>
      <c r="L2700">
        <v>1</v>
      </c>
      <c r="M2700" t="s">
        <v>199</v>
      </c>
      <c r="N2700">
        <v>18</v>
      </c>
      <c r="O2700">
        <v>6</v>
      </c>
      <c r="T2700" t="str">
        <f t="shared" si="328"/>
        <v/>
      </c>
    </row>
    <row r="2701" spans="1:20" x14ac:dyDescent="0.55000000000000004">
      <c r="A2701">
        <v>19</v>
      </c>
      <c r="B2701" s="15" t="str">
        <f t="shared" si="326"/>
        <v>19_6</v>
      </c>
      <c r="C2701" s="20">
        <v>46231.479166608799</v>
      </c>
      <c r="D2701" t="s">
        <v>172</v>
      </c>
      <c r="E2701">
        <v>2</v>
      </c>
      <c r="F2701" t="s">
        <v>168</v>
      </c>
      <c r="G2701" t="str">
        <f t="shared" si="327"/>
        <v>Paranephrops planifrons</v>
      </c>
      <c r="H2701" t="str">
        <f t="shared" si="322"/>
        <v>Freshwater_crayfish</v>
      </c>
      <c r="I2701" t="str">
        <f t="shared" si="323"/>
        <v>Kōura</v>
      </c>
      <c r="J2701" t="str">
        <f t="shared" si="324"/>
        <v>Native</v>
      </c>
      <c r="K2701" t="str">
        <f t="shared" si="325"/>
        <v>Yes</v>
      </c>
      <c r="L2701">
        <v>1</v>
      </c>
      <c r="M2701" t="s">
        <v>199</v>
      </c>
      <c r="N2701">
        <v>30</v>
      </c>
      <c r="O2701">
        <v>23</v>
      </c>
      <c r="T2701" t="str">
        <f t="shared" si="328"/>
        <v/>
      </c>
    </row>
    <row r="2702" spans="1:20" x14ac:dyDescent="0.55000000000000004">
      <c r="A2702">
        <v>19</v>
      </c>
      <c r="B2702" s="15" t="str">
        <f t="shared" si="326"/>
        <v>19_6</v>
      </c>
      <c r="C2702" s="20">
        <v>46231.479166608799</v>
      </c>
      <c r="D2702" t="s">
        <v>172</v>
      </c>
      <c r="E2702">
        <v>2</v>
      </c>
      <c r="F2702" t="s">
        <v>168</v>
      </c>
      <c r="G2702" t="str">
        <f t="shared" si="327"/>
        <v>Paranephrops planifrons</v>
      </c>
      <c r="H2702" t="str">
        <f t="shared" si="322"/>
        <v>Freshwater_crayfish</v>
      </c>
      <c r="I2702" t="str">
        <f t="shared" si="323"/>
        <v>Kōura</v>
      </c>
      <c r="J2702" t="str">
        <f t="shared" si="324"/>
        <v>Native</v>
      </c>
      <c r="K2702" t="str">
        <f t="shared" si="325"/>
        <v>Yes</v>
      </c>
      <c r="L2702">
        <v>1</v>
      </c>
      <c r="M2702" t="s">
        <v>199</v>
      </c>
      <c r="N2702">
        <v>35</v>
      </c>
      <c r="O2702">
        <v>31</v>
      </c>
      <c r="T2702" t="str">
        <f t="shared" si="328"/>
        <v/>
      </c>
    </row>
    <row r="2703" spans="1:20" x14ac:dyDescent="0.55000000000000004">
      <c r="A2703">
        <v>19</v>
      </c>
      <c r="B2703" s="15" t="str">
        <f t="shared" si="326"/>
        <v>19_6</v>
      </c>
      <c r="C2703" s="20">
        <v>46231.479166608799</v>
      </c>
      <c r="D2703" t="s">
        <v>172</v>
      </c>
      <c r="E2703">
        <v>2</v>
      </c>
      <c r="F2703" t="s">
        <v>168</v>
      </c>
      <c r="G2703" t="str">
        <f t="shared" si="327"/>
        <v>Paranephrops planifrons</v>
      </c>
      <c r="H2703" t="str">
        <f t="shared" si="322"/>
        <v>Freshwater_crayfish</v>
      </c>
      <c r="I2703" t="str">
        <f t="shared" si="323"/>
        <v>Kōura</v>
      </c>
      <c r="J2703" t="str">
        <f t="shared" si="324"/>
        <v>Native</v>
      </c>
      <c r="K2703" t="str">
        <f t="shared" si="325"/>
        <v>Yes</v>
      </c>
      <c r="L2703">
        <v>1</v>
      </c>
      <c r="M2703" t="s">
        <v>199</v>
      </c>
      <c r="N2703">
        <v>24</v>
      </c>
      <c r="O2703">
        <v>8</v>
      </c>
      <c r="T2703" t="str">
        <f t="shared" si="328"/>
        <v/>
      </c>
    </row>
    <row r="2704" spans="1:20" x14ac:dyDescent="0.55000000000000004">
      <c r="A2704">
        <v>19</v>
      </c>
      <c r="B2704" s="15" t="str">
        <f t="shared" si="326"/>
        <v>19_6</v>
      </c>
      <c r="C2704" s="20">
        <v>46231.479166608799</v>
      </c>
      <c r="D2704" t="s">
        <v>172</v>
      </c>
      <c r="E2704">
        <v>2</v>
      </c>
      <c r="F2704" t="s">
        <v>168</v>
      </c>
      <c r="G2704" t="str">
        <f t="shared" si="327"/>
        <v>Paranephrops planifrons</v>
      </c>
      <c r="H2704" t="str">
        <f t="shared" si="322"/>
        <v>Freshwater_crayfish</v>
      </c>
      <c r="I2704" t="str">
        <f t="shared" si="323"/>
        <v>Kōura</v>
      </c>
      <c r="J2704" t="str">
        <f t="shared" si="324"/>
        <v>Native</v>
      </c>
      <c r="K2704" t="str">
        <f t="shared" si="325"/>
        <v>Yes</v>
      </c>
      <c r="L2704">
        <v>1</v>
      </c>
      <c r="M2704" t="s">
        <v>199</v>
      </c>
      <c r="N2704">
        <v>23</v>
      </c>
      <c r="O2704">
        <v>10</v>
      </c>
      <c r="T2704" t="str">
        <f t="shared" si="328"/>
        <v/>
      </c>
    </row>
    <row r="2705" spans="1:20" x14ac:dyDescent="0.55000000000000004">
      <c r="A2705">
        <v>19</v>
      </c>
      <c r="B2705" s="15" t="str">
        <f t="shared" si="326"/>
        <v>19_6</v>
      </c>
      <c r="C2705" s="20">
        <v>46231.479166608799</v>
      </c>
      <c r="D2705" t="s">
        <v>172</v>
      </c>
      <c r="E2705">
        <v>2</v>
      </c>
      <c r="F2705" t="s">
        <v>168</v>
      </c>
      <c r="G2705" t="str">
        <f t="shared" si="327"/>
        <v>Paranephrops planifrons</v>
      </c>
      <c r="H2705" t="str">
        <f t="shared" ref="H2705:H2767" si="329">VLOOKUP($F2705, $W$1:$AB$10, 3, FALSE)</f>
        <v>Freshwater_crayfish</v>
      </c>
      <c r="I2705" t="str">
        <f t="shared" ref="I2705:I2767" si="330">VLOOKUP($F2705, $W$1:$AB$10, 4, FALSE)</f>
        <v>Kōura</v>
      </c>
      <c r="J2705" t="str">
        <f t="shared" ref="J2705:J2767" si="331">VLOOKUP($F2705, $W$1:$AC$10, 5, FALSE)</f>
        <v>Native</v>
      </c>
      <c r="K2705" t="str">
        <f t="shared" ref="K2705:K2767" si="332">VLOOKUP($F2705, $W$1:$AB$10, 6, FALSE)</f>
        <v>Yes</v>
      </c>
      <c r="L2705">
        <v>1</v>
      </c>
      <c r="M2705" t="s">
        <v>199</v>
      </c>
      <c r="N2705">
        <v>26</v>
      </c>
      <c r="O2705">
        <v>13</v>
      </c>
      <c r="T2705" t="str">
        <f t="shared" si="328"/>
        <v/>
      </c>
    </row>
    <row r="2706" spans="1:20" x14ac:dyDescent="0.55000000000000004">
      <c r="A2706">
        <v>19</v>
      </c>
      <c r="B2706" s="15" t="str">
        <f t="shared" si="326"/>
        <v>19_6</v>
      </c>
      <c r="C2706" s="20">
        <v>46231.479166608799</v>
      </c>
      <c r="D2706" t="s">
        <v>172</v>
      </c>
      <c r="E2706">
        <v>2</v>
      </c>
      <c r="F2706" t="s">
        <v>168</v>
      </c>
      <c r="G2706" t="str">
        <f t="shared" si="327"/>
        <v>Paranephrops planifrons</v>
      </c>
      <c r="H2706" t="str">
        <f t="shared" si="329"/>
        <v>Freshwater_crayfish</v>
      </c>
      <c r="I2706" t="str">
        <f t="shared" si="330"/>
        <v>Kōura</v>
      </c>
      <c r="J2706" t="str">
        <f t="shared" si="331"/>
        <v>Native</v>
      </c>
      <c r="K2706" t="str">
        <f t="shared" si="332"/>
        <v>Yes</v>
      </c>
      <c r="L2706">
        <v>1</v>
      </c>
      <c r="M2706" t="s">
        <v>199</v>
      </c>
      <c r="N2706">
        <v>21</v>
      </c>
      <c r="O2706">
        <v>22</v>
      </c>
      <c r="P2706">
        <v>1</v>
      </c>
      <c r="T2706" t="str">
        <f t="shared" si="328"/>
        <v/>
      </c>
    </row>
    <row r="2707" spans="1:20" x14ac:dyDescent="0.55000000000000004">
      <c r="A2707">
        <v>19</v>
      </c>
      <c r="B2707" s="15" t="str">
        <f t="shared" si="326"/>
        <v>19_6</v>
      </c>
      <c r="C2707" s="20">
        <v>46231.479166608799</v>
      </c>
      <c r="D2707" t="s">
        <v>172</v>
      </c>
      <c r="E2707">
        <v>2</v>
      </c>
      <c r="F2707" t="s">
        <v>168</v>
      </c>
      <c r="G2707" t="str">
        <f t="shared" si="327"/>
        <v>Paranephrops planifrons</v>
      </c>
      <c r="H2707" t="str">
        <f t="shared" si="329"/>
        <v>Freshwater_crayfish</v>
      </c>
      <c r="I2707" t="str">
        <f t="shared" si="330"/>
        <v>Kōura</v>
      </c>
      <c r="J2707" t="str">
        <f t="shared" si="331"/>
        <v>Native</v>
      </c>
      <c r="K2707" t="str">
        <f t="shared" si="332"/>
        <v>Yes</v>
      </c>
      <c r="L2707">
        <v>1</v>
      </c>
      <c r="M2707" t="s">
        <v>198</v>
      </c>
      <c r="N2707">
        <v>26</v>
      </c>
      <c r="O2707">
        <v>13</v>
      </c>
      <c r="T2707" t="str">
        <f t="shared" si="328"/>
        <v/>
      </c>
    </row>
    <row r="2708" spans="1:20" hidden="1" x14ac:dyDescent="0.55000000000000004">
      <c r="A2708">
        <v>19</v>
      </c>
      <c r="B2708" s="15" t="str">
        <f t="shared" si="326"/>
        <v>19_6</v>
      </c>
      <c r="C2708" s="20">
        <v>46231.479166608799</v>
      </c>
      <c r="D2708" t="s">
        <v>172</v>
      </c>
      <c r="E2708">
        <v>2</v>
      </c>
      <c r="F2708" t="s">
        <v>182</v>
      </c>
      <c r="G2708" t="str">
        <f t="shared" si="327"/>
        <v>Galaxias brevipinnis</v>
      </c>
      <c r="H2708" t="str">
        <f t="shared" si="329"/>
        <v>Climbing_galaxias</v>
      </c>
      <c r="I2708" t="str">
        <f t="shared" si="330"/>
        <v>Kōaro</v>
      </c>
      <c r="J2708" t="str">
        <f t="shared" si="331"/>
        <v>Native</v>
      </c>
      <c r="K2708" t="str">
        <f t="shared" si="332"/>
        <v>Yes</v>
      </c>
      <c r="L2708">
        <v>1</v>
      </c>
      <c r="N2708">
        <v>90</v>
      </c>
      <c r="O2708">
        <v>5</v>
      </c>
      <c r="T2708" t="str">
        <f t="shared" si="328"/>
        <v/>
      </c>
    </row>
    <row r="2709" spans="1:20" hidden="1" x14ac:dyDescent="0.55000000000000004">
      <c r="A2709">
        <v>19</v>
      </c>
      <c r="B2709" s="15" t="str">
        <f t="shared" si="326"/>
        <v>19_6</v>
      </c>
      <c r="C2709" s="20">
        <v>46231.479166608799</v>
      </c>
      <c r="D2709" t="s">
        <v>172</v>
      </c>
      <c r="E2709">
        <v>2</v>
      </c>
      <c r="F2709" t="s">
        <v>181</v>
      </c>
      <c r="G2709" t="str">
        <f t="shared" si="327"/>
        <v>Retropinna retropinna</v>
      </c>
      <c r="H2709" t="str">
        <f t="shared" si="329"/>
        <v>Common_smelt</v>
      </c>
      <c r="I2709" t="str">
        <f t="shared" si="330"/>
        <v>Common_smelt</v>
      </c>
      <c r="J2709" t="str">
        <f t="shared" si="331"/>
        <v>Native</v>
      </c>
      <c r="K2709" t="str">
        <f t="shared" si="332"/>
        <v>No</v>
      </c>
      <c r="O2709">
        <v>35</v>
      </c>
      <c r="T2709" t="str">
        <f t="shared" si="328"/>
        <v/>
      </c>
    </row>
    <row r="2710" spans="1:20" x14ac:dyDescent="0.55000000000000004">
      <c r="A2710">
        <v>19</v>
      </c>
      <c r="B2710" s="15" t="str">
        <f t="shared" si="326"/>
        <v>19_6</v>
      </c>
      <c r="C2710" s="20">
        <v>46231.479166608799</v>
      </c>
      <c r="D2710" t="s">
        <v>172</v>
      </c>
      <c r="E2710">
        <v>2</v>
      </c>
      <c r="F2710" t="s">
        <v>168</v>
      </c>
      <c r="G2710" t="str">
        <f t="shared" si="327"/>
        <v>Paranephrops planifrons</v>
      </c>
      <c r="H2710" t="str">
        <f t="shared" si="329"/>
        <v>Freshwater_crayfish</v>
      </c>
      <c r="I2710" t="str">
        <f t="shared" si="330"/>
        <v>Kōura</v>
      </c>
      <c r="J2710" t="str">
        <f t="shared" si="331"/>
        <v>Native</v>
      </c>
      <c r="K2710" t="str">
        <f t="shared" si="332"/>
        <v>Yes</v>
      </c>
      <c r="L2710">
        <v>1</v>
      </c>
      <c r="M2710" t="s">
        <v>198</v>
      </c>
      <c r="N2710">
        <v>20</v>
      </c>
      <c r="O2710">
        <v>5</v>
      </c>
      <c r="T2710" t="str">
        <f t="shared" si="328"/>
        <v/>
      </c>
    </row>
    <row r="2711" spans="1:20" hidden="1" x14ac:dyDescent="0.55000000000000004">
      <c r="A2711">
        <v>19</v>
      </c>
      <c r="B2711" s="15" t="str">
        <f t="shared" si="326"/>
        <v>19_6</v>
      </c>
      <c r="C2711" s="20">
        <v>46231.479166608799</v>
      </c>
      <c r="D2711" t="s">
        <v>172</v>
      </c>
      <c r="E2711">
        <v>2</v>
      </c>
      <c r="F2711" t="s">
        <v>167</v>
      </c>
      <c r="G2711" t="str">
        <f t="shared" si="327"/>
        <v>Gobiomorphus cotidianus</v>
      </c>
      <c r="H2711" t="str">
        <f t="shared" si="329"/>
        <v>Common_bully</v>
      </c>
      <c r="I2711" t="str">
        <f t="shared" si="330"/>
        <v>Toitoi</v>
      </c>
      <c r="J2711" t="str">
        <f t="shared" si="331"/>
        <v>Native</v>
      </c>
      <c r="K2711" t="str">
        <f t="shared" si="332"/>
        <v>No</v>
      </c>
      <c r="O2711">
        <v>393</v>
      </c>
      <c r="S2711">
        <v>2</v>
      </c>
      <c r="T2711">
        <f t="shared" si="328"/>
        <v>473.17599999999999</v>
      </c>
    </row>
    <row r="2712" spans="1:20" hidden="1" x14ac:dyDescent="0.55000000000000004">
      <c r="A2712">
        <v>19</v>
      </c>
      <c r="B2712" s="15" t="str">
        <f t="shared" si="326"/>
        <v>19_6</v>
      </c>
      <c r="C2712" s="20">
        <v>46231.479166608799</v>
      </c>
      <c r="D2712" t="s">
        <v>172</v>
      </c>
      <c r="E2712">
        <v>2</v>
      </c>
      <c r="F2712" t="s">
        <v>182</v>
      </c>
      <c r="G2712" t="str">
        <f t="shared" si="327"/>
        <v>Galaxias brevipinnis</v>
      </c>
      <c r="H2712" t="str">
        <f t="shared" si="329"/>
        <v>Climbing_galaxias</v>
      </c>
      <c r="I2712" t="str">
        <f t="shared" si="330"/>
        <v>Kōaro</v>
      </c>
      <c r="J2712" t="str">
        <f t="shared" si="331"/>
        <v>Native</v>
      </c>
      <c r="K2712" t="str">
        <f t="shared" si="332"/>
        <v>Yes</v>
      </c>
      <c r="L2712">
        <v>1</v>
      </c>
      <c r="N2712">
        <v>150</v>
      </c>
      <c r="O2712">
        <v>21</v>
      </c>
      <c r="T2712" t="str">
        <f t="shared" si="328"/>
        <v/>
      </c>
    </row>
    <row r="2713" spans="1:20" hidden="1" x14ac:dyDescent="0.55000000000000004">
      <c r="A2713">
        <v>19</v>
      </c>
      <c r="B2713" s="15" t="str">
        <f t="shared" si="326"/>
        <v>19_6</v>
      </c>
      <c r="C2713" s="20">
        <v>46231.479166608799</v>
      </c>
      <c r="D2713" t="s">
        <v>172</v>
      </c>
      <c r="E2713">
        <v>2</v>
      </c>
      <c r="F2713" t="s">
        <v>182</v>
      </c>
      <c r="G2713" t="str">
        <f t="shared" si="327"/>
        <v>Galaxias brevipinnis</v>
      </c>
      <c r="H2713" t="str">
        <f t="shared" si="329"/>
        <v>Climbing_galaxias</v>
      </c>
      <c r="I2713" t="str">
        <f t="shared" si="330"/>
        <v>Kōaro</v>
      </c>
      <c r="J2713" t="str">
        <f t="shared" si="331"/>
        <v>Native</v>
      </c>
      <c r="K2713" t="str">
        <f t="shared" si="332"/>
        <v>Yes</v>
      </c>
      <c r="L2713">
        <v>1</v>
      </c>
      <c r="N2713">
        <v>105</v>
      </c>
      <c r="O2713">
        <v>10</v>
      </c>
      <c r="T2713" t="str">
        <f t="shared" si="328"/>
        <v/>
      </c>
    </row>
    <row r="2714" spans="1:20" hidden="1" x14ac:dyDescent="0.55000000000000004">
      <c r="A2714">
        <v>19</v>
      </c>
      <c r="B2714" s="15" t="str">
        <f t="shared" si="326"/>
        <v>19_6</v>
      </c>
      <c r="C2714" s="20">
        <v>46231.479166608799</v>
      </c>
      <c r="D2714" t="s">
        <v>172</v>
      </c>
      <c r="E2714">
        <v>2</v>
      </c>
      <c r="F2714" t="s">
        <v>182</v>
      </c>
      <c r="G2714" t="str">
        <f t="shared" si="327"/>
        <v>Galaxias brevipinnis</v>
      </c>
      <c r="H2714" t="str">
        <f t="shared" si="329"/>
        <v>Climbing_galaxias</v>
      </c>
      <c r="I2714" t="str">
        <f t="shared" si="330"/>
        <v>Kōaro</v>
      </c>
      <c r="J2714" t="str">
        <f t="shared" si="331"/>
        <v>Native</v>
      </c>
      <c r="K2714" t="str">
        <f t="shared" si="332"/>
        <v>Yes</v>
      </c>
      <c r="L2714">
        <v>1</v>
      </c>
      <c r="N2714">
        <v>90</v>
      </c>
      <c r="O2714">
        <v>7</v>
      </c>
      <c r="T2714" t="str">
        <f t="shared" si="328"/>
        <v/>
      </c>
    </row>
    <row r="2715" spans="1:20" hidden="1" x14ac:dyDescent="0.55000000000000004">
      <c r="A2715">
        <v>19</v>
      </c>
      <c r="B2715" s="15" t="str">
        <f t="shared" si="326"/>
        <v>19_6</v>
      </c>
      <c r="C2715" s="20">
        <v>46231.479166608799</v>
      </c>
      <c r="D2715" t="s">
        <v>172</v>
      </c>
      <c r="E2715">
        <v>2</v>
      </c>
      <c r="F2715" t="s">
        <v>182</v>
      </c>
      <c r="G2715" t="str">
        <f t="shared" si="327"/>
        <v>Galaxias brevipinnis</v>
      </c>
      <c r="H2715" t="str">
        <f t="shared" si="329"/>
        <v>Climbing_galaxias</v>
      </c>
      <c r="I2715" t="str">
        <f t="shared" si="330"/>
        <v>Kōaro</v>
      </c>
      <c r="J2715" t="str">
        <f t="shared" si="331"/>
        <v>Native</v>
      </c>
      <c r="K2715" t="str">
        <f t="shared" si="332"/>
        <v>Yes</v>
      </c>
      <c r="L2715">
        <v>1</v>
      </c>
      <c r="N2715">
        <v>100</v>
      </c>
      <c r="O2715">
        <v>11</v>
      </c>
      <c r="T2715" t="str">
        <f t="shared" si="328"/>
        <v/>
      </c>
    </row>
    <row r="2716" spans="1:20" x14ac:dyDescent="0.55000000000000004">
      <c r="A2716">
        <v>19</v>
      </c>
      <c r="B2716" s="15" t="str">
        <f t="shared" si="326"/>
        <v>19_6</v>
      </c>
      <c r="C2716" s="20">
        <v>46231.479166608799</v>
      </c>
      <c r="D2716" t="s">
        <v>172</v>
      </c>
      <c r="E2716">
        <v>2</v>
      </c>
      <c r="F2716" t="s">
        <v>168</v>
      </c>
      <c r="G2716" t="str">
        <f t="shared" si="327"/>
        <v>Paranephrops planifrons</v>
      </c>
      <c r="H2716" t="str">
        <f t="shared" si="329"/>
        <v>Freshwater_crayfish</v>
      </c>
      <c r="I2716" t="str">
        <f t="shared" si="330"/>
        <v>Kōura</v>
      </c>
      <c r="J2716" t="str">
        <f t="shared" si="331"/>
        <v>Native</v>
      </c>
      <c r="K2716" t="str">
        <f t="shared" si="332"/>
        <v>Yes</v>
      </c>
      <c r="L2716">
        <v>1</v>
      </c>
      <c r="M2716" t="s">
        <v>199</v>
      </c>
      <c r="N2716">
        <v>36</v>
      </c>
      <c r="O2716">
        <v>31</v>
      </c>
      <c r="T2716" t="str">
        <f t="shared" si="328"/>
        <v/>
      </c>
    </row>
    <row r="2717" spans="1:20" x14ac:dyDescent="0.55000000000000004">
      <c r="A2717">
        <v>19</v>
      </c>
      <c r="B2717" s="15" t="str">
        <f t="shared" si="326"/>
        <v>19_6</v>
      </c>
      <c r="C2717" s="20">
        <v>46231.479166608799</v>
      </c>
      <c r="D2717" t="s">
        <v>172</v>
      </c>
      <c r="E2717">
        <v>2</v>
      </c>
      <c r="F2717" t="s">
        <v>168</v>
      </c>
      <c r="G2717" t="str">
        <f t="shared" si="327"/>
        <v>Paranephrops planifrons</v>
      </c>
      <c r="H2717" t="str">
        <f t="shared" si="329"/>
        <v>Freshwater_crayfish</v>
      </c>
      <c r="I2717" t="str">
        <f t="shared" si="330"/>
        <v>Kōura</v>
      </c>
      <c r="J2717" t="str">
        <f t="shared" si="331"/>
        <v>Native</v>
      </c>
      <c r="K2717" t="str">
        <f t="shared" si="332"/>
        <v>Yes</v>
      </c>
      <c r="L2717">
        <v>1</v>
      </c>
      <c r="M2717" t="s">
        <v>198</v>
      </c>
      <c r="N2717">
        <v>22</v>
      </c>
      <c r="O2717">
        <v>10</v>
      </c>
      <c r="T2717" t="str">
        <f t="shared" si="328"/>
        <v/>
      </c>
    </row>
    <row r="2718" spans="1:20" x14ac:dyDescent="0.55000000000000004">
      <c r="A2718">
        <v>19</v>
      </c>
      <c r="B2718" s="15" t="str">
        <f t="shared" si="326"/>
        <v>19_6</v>
      </c>
      <c r="C2718" s="20">
        <v>46231.479166608799</v>
      </c>
      <c r="D2718" t="s">
        <v>172</v>
      </c>
      <c r="E2718">
        <v>2</v>
      </c>
      <c r="F2718" t="s">
        <v>168</v>
      </c>
      <c r="G2718" t="str">
        <f t="shared" si="327"/>
        <v>Paranephrops planifrons</v>
      </c>
      <c r="H2718" t="str">
        <f t="shared" si="329"/>
        <v>Freshwater_crayfish</v>
      </c>
      <c r="I2718" t="str">
        <f t="shared" si="330"/>
        <v>Kōura</v>
      </c>
      <c r="J2718" t="str">
        <f t="shared" si="331"/>
        <v>Native</v>
      </c>
      <c r="K2718" t="str">
        <f t="shared" si="332"/>
        <v>Yes</v>
      </c>
      <c r="L2718">
        <v>1</v>
      </c>
      <c r="M2718" t="s">
        <v>198</v>
      </c>
      <c r="N2718">
        <v>33</v>
      </c>
      <c r="O2718">
        <v>26</v>
      </c>
      <c r="Q2718">
        <v>1</v>
      </c>
      <c r="T2718" t="str">
        <f t="shared" si="328"/>
        <v/>
      </c>
    </row>
    <row r="2719" spans="1:20" x14ac:dyDescent="0.55000000000000004">
      <c r="A2719">
        <v>19</v>
      </c>
      <c r="B2719" s="15" t="str">
        <f t="shared" si="326"/>
        <v>19_6</v>
      </c>
      <c r="C2719" s="20">
        <v>46231.479166608799</v>
      </c>
      <c r="D2719" t="s">
        <v>172</v>
      </c>
      <c r="E2719">
        <v>2</v>
      </c>
      <c r="F2719" t="s">
        <v>168</v>
      </c>
      <c r="G2719" t="str">
        <f t="shared" si="327"/>
        <v>Paranephrops planifrons</v>
      </c>
      <c r="H2719" t="str">
        <f t="shared" si="329"/>
        <v>Freshwater_crayfish</v>
      </c>
      <c r="I2719" t="str">
        <f t="shared" si="330"/>
        <v>Kōura</v>
      </c>
      <c r="J2719" t="str">
        <f t="shared" si="331"/>
        <v>Native</v>
      </c>
      <c r="K2719" t="str">
        <f t="shared" si="332"/>
        <v>Yes</v>
      </c>
      <c r="L2719">
        <v>1</v>
      </c>
      <c r="M2719" t="s">
        <v>198</v>
      </c>
      <c r="N2719">
        <v>21</v>
      </c>
      <c r="O2719">
        <v>7</v>
      </c>
      <c r="T2719" t="str">
        <f t="shared" si="328"/>
        <v/>
      </c>
    </row>
    <row r="2720" spans="1:20" x14ac:dyDescent="0.55000000000000004">
      <c r="A2720">
        <v>19</v>
      </c>
      <c r="B2720" s="15" t="str">
        <f t="shared" si="326"/>
        <v>19_6</v>
      </c>
      <c r="C2720" s="20">
        <v>46231.479166608799</v>
      </c>
      <c r="D2720" t="s">
        <v>172</v>
      </c>
      <c r="E2720">
        <v>2</v>
      </c>
      <c r="F2720" t="s">
        <v>168</v>
      </c>
      <c r="G2720" t="str">
        <f t="shared" si="327"/>
        <v>Paranephrops planifrons</v>
      </c>
      <c r="H2720" t="str">
        <f t="shared" si="329"/>
        <v>Freshwater_crayfish</v>
      </c>
      <c r="I2720" t="str">
        <f t="shared" si="330"/>
        <v>Kōura</v>
      </c>
      <c r="J2720" t="str">
        <f t="shared" si="331"/>
        <v>Native</v>
      </c>
      <c r="K2720" t="str">
        <f t="shared" si="332"/>
        <v>Yes</v>
      </c>
      <c r="L2720">
        <v>1</v>
      </c>
      <c r="M2720" t="s">
        <v>198</v>
      </c>
      <c r="N2720">
        <v>25</v>
      </c>
      <c r="O2720">
        <v>12</v>
      </c>
      <c r="T2720" t="str">
        <f t="shared" si="328"/>
        <v/>
      </c>
    </row>
    <row r="2721" spans="1:20" x14ac:dyDescent="0.55000000000000004">
      <c r="A2721">
        <v>19</v>
      </c>
      <c r="B2721" s="15" t="str">
        <f t="shared" si="326"/>
        <v>19_6</v>
      </c>
      <c r="C2721" s="20">
        <v>46231.479166608799</v>
      </c>
      <c r="D2721" t="s">
        <v>172</v>
      </c>
      <c r="E2721">
        <v>2</v>
      </c>
      <c r="F2721" t="s">
        <v>168</v>
      </c>
      <c r="G2721" t="str">
        <f t="shared" si="327"/>
        <v>Paranephrops planifrons</v>
      </c>
      <c r="H2721" t="str">
        <f t="shared" si="329"/>
        <v>Freshwater_crayfish</v>
      </c>
      <c r="I2721" t="str">
        <f t="shared" si="330"/>
        <v>Kōura</v>
      </c>
      <c r="J2721" t="str">
        <f t="shared" si="331"/>
        <v>Native</v>
      </c>
      <c r="K2721" t="str">
        <f t="shared" si="332"/>
        <v>Yes</v>
      </c>
      <c r="L2721">
        <v>1</v>
      </c>
      <c r="M2721" t="s">
        <v>199</v>
      </c>
      <c r="N2721">
        <v>22</v>
      </c>
      <c r="O2721">
        <v>8</v>
      </c>
      <c r="T2721" t="str">
        <f t="shared" si="328"/>
        <v/>
      </c>
    </row>
    <row r="2722" spans="1:20" x14ac:dyDescent="0.55000000000000004">
      <c r="A2722">
        <v>19</v>
      </c>
      <c r="B2722" s="15" t="str">
        <f t="shared" si="326"/>
        <v>19_6</v>
      </c>
      <c r="C2722" s="20">
        <v>46231.479166608799</v>
      </c>
      <c r="D2722" t="s">
        <v>172</v>
      </c>
      <c r="E2722">
        <v>2</v>
      </c>
      <c r="F2722" t="s">
        <v>168</v>
      </c>
      <c r="G2722" t="str">
        <f t="shared" si="327"/>
        <v>Paranephrops planifrons</v>
      </c>
      <c r="H2722" t="str">
        <f t="shared" si="329"/>
        <v>Freshwater_crayfish</v>
      </c>
      <c r="I2722" t="str">
        <f t="shared" si="330"/>
        <v>Kōura</v>
      </c>
      <c r="J2722" t="str">
        <f t="shared" si="331"/>
        <v>Native</v>
      </c>
      <c r="K2722" t="str">
        <f t="shared" si="332"/>
        <v>Yes</v>
      </c>
      <c r="L2722">
        <v>1</v>
      </c>
      <c r="M2722" t="s">
        <v>199</v>
      </c>
      <c r="N2722">
        <v>34</v>
      </c>
      <c r="O2722">
        <v>27</v>
      </c>
      <c r="T2722" t="str">
        <f t="shared" si="328"/>
        <v/>
      </c>
    </row>
    <row r="2723" spans="1:20" x14ac:dyDescent="0.55000000000000004">
      <c r="A2723">
        <v>19</v>
      </c>
      <c r="B2723" s="15" t="str">
        <f t="shared" si="326"/>
        <v>19_6</v>
      </c>
      <c r="C2723" s="20">
        <v>46231.479166608799</v>
      </c>
      <c r="D2723" t="s">
        <v>172</v>
      </c>
      <c r="E2723">
        <v>2</v>
      </c>
      <c r="F2723" t="s">
        <v>168</v>
      </c>
      <c r="G2723" t="str">
        <f t="shared" si="327"/>
        <v>Paranephrops planifrons</v>
      </c>
      <c r="H2723" t="str">
        <f t="shared" si="329"/>
        <v>Freshwater_crayfish</v>
      </c>
      <c r="I2723" t="str">
        <f t="shared" si="330"/>
        <v>Kōura</v>
      </c>
      <c r="J2723" t="str">
        <f t="shared" si="331"/>
        <v>Native</v>
      </c>
      <c r="K2723" t="str">
        <f t="shared" si="332"/>
        <v>Yes</v>
      </c>
      <c r="L2723">
        <v>1</v>
      </c>
      <c r="M2723" t="s">
        <v>199</v>
      </c>
      <c r="N2723">
        <v>25</v>
      </c>
      <c r="O2723">
        <v>13</v>
      </c>
      <c r="T2723" t="str">
        <f t="shared" si="328"/>
        <v/>
      </c>
    </row>
    <row r="2724" spans="1:20" x14ac:dyDescent="0.55000000000000004">
      <c r="A2724">
        <v>19</v>
      </c>
      <c r="B2724" s="15" t="str">
        <f t="shared" si="326"/>
        <v>19_6</v>
      </c>
      <c r="C2724" s="20">
        <v>46231.479166608799</v>
      </c>
      <c r="D2724" t="s">
        <v>172</v>
      </c>
      <c r="E2724">
        <v>2</v>
      </c>
      <c r="F2724" t="s">
        <v>168</v>
      </c>
      <c r="G2724" t="str">
        <f t="shared" si="327"/>
        <v>Paranephrops planifrons</v>
      </c>
      <c r="H2724" t="str">
        <f t="shared" si="329"/>
        <v>Freshwater_crayfish</v>
      </c>
      <c r="I2724" t="str">
        <f t="shared" si="330"/>
        <v>Kōura</v>
      </c>
      <c r="J2724" t="str">
        <f t="shared" si="331"/>
        <v>Native</v>
      </c>
      <c r="K2724" t="str">
        <f t="shared" si="332"/>
        <v>Yes</v>
      </c>
      <c r="L2724">
        <v>1</v>
      </c>
      <c r="M2724" t="s">
        <v>199</v>
      </c>
      <c r="N2724">
        <v>15</v>
      </c>
      <c r="O2724">
        <v>3</v>
      </c>
      <c r="T2724" t="str">
        <f t="shared" si="328"/>
        <v/>
      </c>
    </row>
    <row r="2725" spans="1:20" hidden="1" x14ac:dyDescent="0.55000000000000004">
      <c r="A2725">
        <v>19</v>
      </c>
      <c r="B2725" s="15" t="str">
        <f t="shared" si="326"/>
        <v>19_6</v>
      </c>
      <c r="C2725" s="20">
        <v>46231.479166608799</v>
      </c>
      <c r="D2725" t="s">
        <v>172</v>
      </c>
      <c r="E2725">
        <v>2</v>
      </c>
      <c r="F2725" t="s">
        <v>181</v>
      </c>
      <c r="G2725" t="str">
        <f t="shared" si="327"/>
        <v>Retropinna retropinna</v>
      </c>
      <c r="H2725" t="str">
        <f t="shared" si="329"/>
        <v>Common_smelt</v>
      </c>
      <c r="I2725" t="str">
        <f t="shared" si="330"/>
        <v>Common_smelt</v>
      </c>
      <c r="J2725" t="str">
        <f t="shared" si="331"/>
        <v>Native</v>
      </c>
      <c r="K2725" t="str">
        <f t="shared" si="332"/>
        <v>No</v>
      </c>
      <c r="O2725">
        <v>12</v>
      </c>
      <c r="T2725" t="str">
        <f t="shared" si="328"/>
        <v/>
      </c>
    </row>
    <row r="2726" spans="1:20" hidden="1" x14ac:dyDescent="0.55000000000000004">
      <c r="A2726">
        <v>19</v>
      </c>
      <c r="B2726" s="15" t="str">
        <f t="shared" si="326"/>
        <v>19_6</v>
      </c>
      <c r="C2726" s="20">
        <v>46231.479166608799</v>
      </c>
      <c r="D2726" t="s">
        <v>172</v>
      </c>
      <c r="E2726">
        <v>2</v>
      </c>
      <c r="F2726" t="s">
        <v>167</v>
      </c>
      <c r="G2726" t="str">
        <f t="shared" si="327"/>
        <v>Gobiomorphus cotidianus</v>
      </c>
      <c r="H2726" t="str">
        <f t="shared" si="329"/>
        <v>Common_bully</v>
      </c>
      <c r="I2726" t="str">
        <f t="shared" si="330"/>
        <v>Toitoi</v>
      </c>
      <c r="J2726" t="str">
        <f t="shared" si="331"/>
        <v>Native</v>
      </c>
      <c r="K2726" t="str">
        <f t="shared" si="332"/>
        <v>No</v>
      </c>
      <c r="O2726">
        <v>127</v>
      </c>
      <c r="S2726">
        <v>0.5</v>
      </c>
      <c r="T2726">
        <f t="shared" si="328"/>
        <v>118.294</v>
      </c>
    </row>
    <row r="2727" spans="1:20" x14ac:dyDescent="0.55000000000000004">
      <c r="A2727">
        <v>20</v>
      </c>
      <c r="B2727" s="15" t="str">
        <f t="shared" si="326"/>
        <v>20_6</v>
      </c>
      <c r="C2727" s="20">
        <v>46231.506944444445</v>
      </c>
      <c r="D2727" t="s">
        <v>166</v>
      </c>
      <c r="E2727">
        <v>2</v>
      </c>
      <c r="F2727" t="s">
        <v>168</v>
      </c>
      <c r="G2727" t="str">
        <f t="shared" si="327"/>
        <v>Paranephrops planifrons</v>
      </c>
      <c r="H2727" t="str">
        <f t="shared" si="329"/>
        <v>Freshwater_crayfish</v>
      </c>
      <c r="I2727" t="str">
        <f t="shared" si="330"/>
        <v>Kōura</v>
      </c>
      <c r="J2727" t="str">
        <f t="shared" si="331"/>
        <v>Native</v>
      </c>
      <c r="K2727" t="str">
        <f t="shared" si="332"/>
        <v>Yes</v>
      </c>
      <c r="L2727">
        <v>1</v>
      </c>
      <c r="M2727" t="s">
        <v>199</v>
      </c>
      <c r="N2727">
        <v>28</v>
      </c>
      <c r="O2727">
        <v>16</v>
      </c>
      <c r="T2727" t="str">
        <f t="shared" si="328"/>
        <v/>
      </c>
    </row>
    <row r="2728" spans="1:20" x14ac:dyDescent="0.55000000000000004">
      <c r="A2728">
        <v>20</v>
      </c>
      <c r="B2728" s="15" t="str">
        <f t="shared" si="326"/>
        <v>20_6</v>
      </c>
      <c r="C2728" s="20">
        <v>46231.506944444445</v>
      </c>
      <c r="D2728" t="s">
        <v>166</v>
      </c>
      <c r="E2728">
        <v>2</v>
      </c>
      <c r="F2728" t="s">
        <v>168</v>
      </c>
      <c r="G2728" t="str">
        <f t="shared" si="327"/>
        <v>Paranephrops planifrons</v>
      </c>
      <c r="H2728" t="str">
        <f t="shared" si="329"/>
        <v>Freshwater_crayfish</v>
      </c>
      <c r="I2728" t="str">
        <f t="shared" si="330"/>
        <v>Kōura</v>
      </c>
      <c r="J2728" t="str">
        <f t="shared" si="331"/>
        <v>Native</v>
      </c>
      <c r="K2728" t="str">
        <f t="shared" si="332"/>
        <v>Yes</v>
      </c>
      <c r="L2728">
        <v>1</v>
      </c>
      <c r="M2728" t="s">
        <v>199</v>
      </c>
      <c r="N2728">
        <v>35</v>
      </c>
      <c r="O2728">
        <v>32</v>
      </c>
      <c r="T2728" t="str">
        <f t="shared" si="328"/>
        <v/>
      </c>
    </row>
    <row r="2729" spans="1:20" x14ac:dyDescent="0.55000000000000004">
      <c r="A2729">
        <v>20</v>
      </c>
      <c r="B2729" s="15" t="str">
        <f t="shared" si="326"/>
        <v>20_6</v>
      </c>
      <c r="C2729" s="20">
        <v>46231.506944444445</v>
      </c>
      <c r="D2729" t="s">
        <v>166</v>
      </c>
      <c r="E2729">
        <v>2</v>
      </c>
      <c r="F2729" t="s">
        <v>168</v>
      </c>
      <c r="G2729" t="str">
        <f t="shared" si="327"/>
        <v>Paranephrops planifrons</v>
      </c>
      <c r="H2729" t="str">
        <f t="shared" si="329"/>
        <v>Freshwater_crayfish</v>
      </c>
      <c r="I2729" t="str">
        <f t="shared" si="330"/>
        <v>Kōura</v>
      </c>
      <c r="J2729" t="str">
        <f t="shared" si="331"/>
        <v>Native</v>
      </c>
      <c r="K2729" t="str">
        <f t="shared" si="332"/>
        <v>Yes</v>
      </c>
      <c r="L2729">
        <v>1</v>
      </c>
      <c r="M2729" t="s">
        <v>198</v>
      </c>
      <c r="N2729">
        <v>39</v>
      </c>
      <c r="O2729">
        <v>40</v>
      </c>
      <c r="Q2729">
        <v>1</v>
      </c>
      <c r="T2729" t="str">
        <f t="shared" si="328"/>
        <v/>
      </c>
    </row>
    <row r="2730" spans="1:20" x14ac:dyDescent="0.55000000000000004">
      <c r="A2730">
        <v>20</v>
      </c>
      <c r="B2730" s="15" t="str">
        <f t="shared" si="326"/>
        <v>20_6</v>
      </c>
      <c r="C2730" s="20">
        <v>46231.506944444445</v>
      </c>
      <c r="D2730" t="s">
        <v>166</v>
      </c>
      <c r="E2730">
        <v>2</v>
      </c>
      <c r="F2730" t="s">
        <v>168</v>
      </c>
      <c r="G2730" t="str">
        <f t="shared" si="327"/>
        <v>Paranephrops planifrons</v>
      </c>
      <c r="H2730" t="str">
        <f t="shared" si="329"/>
        <v>Freshwater_crayfish</v>
      </c>
      <c r="I2730" t="str">
        <f t="shared" si="330"/>
        <v>Kōura</v>
      </c>
      <c r="J2730" t="str">
        <f t="shared" si="331"/>
        <v>Native</v>
      </c>
      <c r="K2730" t="str">
        <f t="shared" si="332"/>
        <v>Yes</v>
      </c>
      <c r="L2730">
        <v>1</v>
      </c>
      <c r="M2730" t="s">
        <v>199</v>
      </c>
      <c r="N2730">
        <v>38</v>
      </c>
      <c r="O2730">
        <v>42</v>
      </c>
      <c r="T2730" t="str">
        <f t="shared" si="328"/>
        <v/>
      </c>
    </row>
    <row r="2731" spans="1:20" x14ac:dyDescent="0.55000000000000004">
      <c r="A2731">
        <v>20</v>
      </c>
      <c r="B2731" s="15" t="str">
        <f t="shared" si="326"/>
        <v>20_6</v>
      </c>
      <c r="C2731" s="20">
        <v>46231.506944444445</v>
      </c>
      <c r="D2731" t="s">
        <v>166</v>
      </c>
      <c r="E2731">
        <v>2</v>
      </c>
      <c r="F2731" t="s">
        <v>168</v>
      </c>
      <c r="G2731" t="str">
        <f t="shared" si="327"/>
        <v>Paranephrops planifrons</v>
      </c>
      <c r="H2731" t="str">
        <f t="shared" si="329"/>
        <v>Freshwater_crayfish</v>
      </c>
      <c r="I2731" t="str">
        <f t="shared" si="330"/>
        <v>Kōura</v>
      </c>
      <c r="J2731" t="str">
        <f t="shared" si="331"/>
        <v>Native</v>
      </c>
      <c r="K2731" t="str">
        <f t="shared" si="332"/>
        <v>Yes</v>
      </c>
      <c r="L2731">
        <v>1</v>
      </c>
      <c r="M2731" t="s">
        <v>199</v>
      </c>
      <c r="N2731">
        <v>28</v>
      </c>
      <c r="O2731">
        <v>14</v>
      </c>
      <c r="T2731" t="str">
        <f t="shared" si="328"/>
        <v/>
      </c>
    </row>
    <row r="2732" spans="1:20" x14ac:dyDescent="0.55000000000000004">
      <c r="A2732">
        <v>20</v>
      </c>
      <c r="B2732" s="15" t="str">
        <f t="shared" si="326"/>
        <v>20_6</v>
      </c>
      <c r="C2732" s="20">
        <v>46231.506944444445</v>
      </c>
      <c r="D2732" t="s">
        <v>166</v>
      </c>
      <c r="E2732">
        <v>2</v>
      </c>
      <c r="F2732" t="s">
        <v>168</v>
      </c>
      <c r="G2732" t="str">
        <f t="shared" si="327"/>
        <v>Paranephrops planifrons</v>
      </c>
      <c r="H2732" t="str">
        <f t="shared" si="329"/>
        <v>Freshwater_crayfish</v>
      </c>
      <c r="I2732" t="str">
        <f t="shared" si="330"/>
        <v>Kōura</v>
      </c>
      <c r="J2732" t="str">
        <f t="shared" si="331"/>
        <v>Native</v>
      </c>
      <c r="K2732" t="str">
        <f t="shared" si="332"/>
        <v>Yes</v>
      </c>
      <c r="L2732">
        <v>1</v>
      </c>
      <c r="M2732" t="s">
        <v>199</v>
      </c>
      <c r="N2732">
        <v>28</v>
      </c>
      <c r="O2732">
        <v>18</v>
      </c>
      <c r="T2732" t="str">
        <f t="shared" si="328"/>
        <v/>
      </c>
    </row>
    <row r="2733" spans="1:20" x14ac:dyDescent="0.55000000000000004">
      <c r="A2733">
        <v>20</v>
      </c>
      <c r="B2733" s="15" t="str">
        <f t="shared" si="326"/>
        <v>20_6</v>
      </c>
      <c r="C2733" s="20">
        <v>46231.506944444445</v>
      </c>
      <c r="D2733" t="s">
        <v>166</v>
      </c>
      <c r="E2733">
        <v>2</v>
      </c>
      <c r="F2733" t="s">
        <v>168</v>
      </c>
      <c r="G2733" t="str">
        <f t="shared" si="327"/>
        <v>Paranephrops planifrons</v>
      </c>
      <c r="H2733" t="str">
        <f t="shared" si="329"/>
        <v>Freshwater_crayfish</v>
      </c>
      <c r="I2733" t="str">
        <f t="shared" si="330"/>
        <v>Kōura</v>
      </c>
      <c r="J2733" t="str">
        <f t="shared" si="331"/>
        <v>Native</v>
      </c>
      <c r="K2733" t="str">
        <f t="shared" si="332"/>
        <v>Yes</v>
      </c>
      <c r="L2733">
        <v>1</v>
      </c>
      <c r="M2733" t="s">
        <v>199</v>
      </c>
      <c r="N2733">
        <v>35</v>
      </c>
      <c r="O2733">
        <v>28</v>
      </c>
      <c r="T2733" t="str">
        <f t="shared" si="328"/>
        <v/>
      </c>
    </row>
    <row r="2734" spans="1:20" x14ac:dyDescent="0.55000000000000004">
      <c r="A2734">
        <v>20</v>
      </c>
      <c r="B2734" s="15" t="str">
        <f t="shared" si="326"/>
        <v>20_6</v>
      </c>
      <c r="C2734" s="20">
        <v>46231.506944444445</v>
      </c>
      <c r="D2734" t="s">
        <v>166</v>
      </c>
      <c r="E2734">
        <v>2</v>
      </c>
      <c r="F2734" t="s">
        <v>168</v>
      </c>
      <c r="G2734" t="str">
        <f t="shared" si="327"/>
        <v>Paranephrops planifrons</v>
      </c>
      <c r="H2734" t="str">
        <f t="shared" si="329"/>
        <v>Freshwater_crayfish</v>
      </c>
      <c r="I2734" t="str">
        <f t="shared" si="330"/>
        <v>Kōura</v>
      </c>
      <c r="J2734" t="str">
        <f t="shared" si="331"/>
        <v>Native</v>
      </c>
      <c r="K2734" t="str">
        <f t="shared" si="332"/>
        <v>Yes</v>
      </c>
      <c r="L2734">
        <v>1</v>
      </c>
      <c r="M2734" t="s">
        <v>199</v>
      </c>
      <c r="N2734">
        <v>27</v>
      </c>
      <c r="O2734">
        <v>16</v>
      </c>
      <c r="T2734" t="str">
        <f t="shared" si="328"/>
        <v/>
      </c>
    </row>
    <row r="2735" spans="1:20" x14ac:dyDescent="0.55000000000000004">
      <c r="A2735">
        <v>20</v>
      </c>
      <c r="B2735" s="15" t="str">
        <f t="shared" si="326"/>
        <v>20_6</v>
      </c>
      <c r="C2735" s="20">
        <v>46231.506944444445</v>
      </c>
      <c r="D2735" t="s">
        <v>166</v>
      </c>
      <c r="E2735">
        <v>2</v>
      </c>
      <c r="F2735" t="s">
        <v>168</v>
      </c>
      <c r="G2735" t="str">
        <f t="shared" si="327"/>
        <v>Paranephrops planifrons</v>
      </c>
      <c r="H2735" t="str">
        <f t="shared" si="329"/>
        <v>Freshwater_crayfish</v>
      </c>
      <c r="I2735" t="str">
        <f t="shared" si="330"/>
        <v>Kōura</v>
      </c>
      <c r="J2735" t="str">
        <f t="shared" si="331"/>
        <v>Native</v>
      </c>
      <c r="K2735" t="str">
        <f t="shared" si="332"/>
        <v>Yes</v>
      </c>
      <c r="L2735">
        <v>1</v>
      </c>
      <c r="M2735" t="s">
        <v>199</v>
      </c>
      <c r="N2735">
        <v>34</v>
      </c>
      <c r="O2735">
        <v>28</v>
      </c>
      <c r="T2735" t="str">
        <f t="shared" si="328"/>
        <v/>
      </c>
    </row>
    <row r="2736" spans="1:20" hidden="1" x14ac:dyDescent="0.55000000000000004">
      <c r="A2736">
        <v>20</v>
      </c>
      <c r="B2736" s="15" t="str">
        <f t="shared" si="326"/>
        <v>20_6</v>
      </c>
      <c r="C2736" s="20">
        <v>46231.506944444445</v>
      </c>
      <c r="D2736" t="s">
        <v>172</v>
      </c>
      <c r="E2736">
        <v>2</v>
      </c>
      <c r="F2736" t="s">
        <v>182</v>
      </c>
      <c r="G2736" t="str">
        <f t="shared" si="327"/>
        <v>Galaxias brevipinnis</v>
      </c>
      <c r="H2736" t="str">
        <f t="shared" si="329"/>
        <v>Climbing_galaxias</v>
      </c>
      <c r="I2736" t="str">
        <f t="shared" si="330"/>
        <v>Kōaro</v>
      </c>
      <c r="J2736" t="str">
        <f t="shared" si="331"/>
        <v>Native</v>
      </c>
      <c r="K2736" t="str">
        <f t="shared" si="332"/>
        <v>Yes</v>
      </c>
      <c r="L2736">
        <v>1</v>
      </c>
      <c r="N2736">
        <v>180</v>
      </c>
      <c r="O2736">
        <v>69</v>
      </c>
      <c r="T2736" t="str">
        <f t="shared" si="328"/>
        <v/>
      </c>
    </row>
    <row r="2737" spans="1:20" hidden="1" x14ac:dyDescent="0.55000000000000004">
      <c r="A2737">
        <v>20</v>
      </c>
      <c r="B2737" s="15" t="str">
        <f t="shared" ref="B2737:B2776" si="333">A2737 &amp; "_6"</f>
        <v>20_6</v>
      </c>
      <c r="C2737" s="20">
        <v>46231.506944444445</v>
      </c>
      <c r="D2737" t="s">
        <v>172</v>
      </c>
      <c r="E2737">
        <v>2</v>
      </c>
      <c r="F2737" t="s">
        <v>182</v>
      </c>
      <c r="G2737" t="str">
        <f t="shared" si="327"/>
        <v>Galaxias brevipinnis</v>
      </c>
      <c r="H2737" t="str">
        <f t="shared" si="329"/>
        <v>Climbing_galaxias</v>
      </c>
      <c r="I2737" t="str">
        <f t="shared" si="330"/>
        <v>Kōaro</v>
      </c>
      <c r="J2737" t="str">
        <f t="shared" si="331"/>
        <v>Native</v>
      </c>
      <c r="K2737" t="str">
        <f t="shared" si="332"/>
        <v>Yes</v>
      </c>
      <c r="L2737">
        <v>1</v>
      </c>
      <c r="N2737">
        <v>110</v>
      </c>
      <c r="O2737">
        <v>11</v>
      </c>
      <c r="T2737" t="str">
        <f t="shared" si="328"/>
        <v/>
      </c>
    </row>
    <row r="2738" spans="1:20" hidden="1" x14ac:dyDescent="0.55000000000000004">
      <c r="A2738">
        <v>20</v>
      </c>
      <c r="B2738" s="15" t="str">
        <f t="shared" si="326"/>
        <v>20_6</v>
      </c>
      <c r="C2738" s="20">
        <v>46231.506944444445</v>
      </c>
      <c r="D2738" t="s">
        <v>172</v>
      </c>
      <c r="E2738">
        <v>2</v>
      </c>
      <c r="F2738" t="s">
        <v>182</v>
      </c>
      <c r="G2738" t="str">
        <f t="shared" si="327"/>
        <v>Galaxias brevipinnis</v>
      </c>
      <c r="H2738" t="str">
        <f t="shared" si="329"/>
        <v>Climbing_galaxias</v>
      </c>
      <c r="I2738" t="str">
        <f t="shared" si="330"/>
        <v>Kōaro</v>
      </c>
      <c r="J2738" t="str">
        <f t="shared" si="331"/>
        <v>Native</v>
      </c>
      <c r="K2738" t="str">
        <f t="shared" si="332"/>
        <v>Yes</v>
      </c>
      <c r="L2738">
        <v>1</v>
      </c>
      <c r="N2738">
        <v>90</v>
      </c>
      <c r="O2738">
        <v>7</v>
      </c>
      <c r="T2738" t="str">
        <f t="shared" si="328"/>
        <v/>
      </c>
    </row>
    <row r="2739" spans="1:20" hidden="1" x14ac:dyDescent="0.55000000000000004">
      <c r="A2739">
        <v>20</v>
      </c>
      <c r="B2739" s="15" t="str">
        <f t="shared" si="333"/>
        <v>20_6</v>
      </c>
      <c r="C2739" s="20">
        <v>46231.506944444445</v>
      </c>
      <c r="D2739" t="s">
        <v>172</v>
      </c>
      <c r="E2739">
        <v>2</v>
      </c>
      <c r="F2739" t="s">
        <v>182</v>
      </c>
      <c r="G2739" t="str">
        <f t="shared" si="327"/>
        <v>Galaxias brevipinnis</v>
      </c>
      <c r="H2739" t="str">
        <f t="shared" si="329"/>
        <v>Climbing_galaxias</v>
      </c>
      <c r="I2739" t="str">
        <f t="shared" si="330"/>
        <v>Kōaro</v>
      </c>
      <c r="J2739" t="str">
        <f t="shared" si="331"/>
        <v>Native</v>
      </c>
      <c r="K2739" t="str">
        <f t="shared" si="332"/>
        <v>Yes</v>
      </c>
      <c r="L2739">
        <v>1</v>
      </c>
      <c r="N2739">
        <v>90</v>
      </c>
      <c r="O2739">
        <v>8</v>
      </c>
      <c r="T2739" t="str">
        <f t="shared" si="328"/>
        <v/>
      </c>
    </row>
    <row r="2740" spans="1:20" hidden="1" x14ac:dyDescent="0.55000000000000004">
      <c r="A2740">
        <v>20</v>
      </c>
      <c r="B2740" s="15" t="str">
        <f t="shared" si="333"/>
        <v>20_6</v>
      </c>
      <c r="C2740" s="20">
        <v>46231.506944444445</v>
      </c>
      <c r="D2740" t="s">
        <v>172</v>
      </c>
      <c r="E2740">
        <v>2</v>
      </c>
      <c r="F2740" t="s">
        <v>182</v>
      </c>
      <c r="G2740" t="str">
        <f t="shared" si="327"/>
        <v>Galaxias brevipinnis</v>
      </c>
      <c r="H2740" t="str">
        <f t="shared" si="329"/>
        <v>Climbing_galaxias</v>
      </c>
      <c r="I2740" t="str">
        <f t="shared" si="330"/>
        <v>Kōaro</v>
      </c>
      <c r="J2740" t="str">
        <f t="shared" si="331"/>
        <v>Native</v>
      </c>
      <c r="K2740" t="str">
        <f t="shared" si="332"/>
        <v>Yes</v>
      </c>
      <c r="L2740">
        <v>1</v>
      </c>
      <c r="N2740">
        <v>85</v>
      </c>
      <c r="O2740">
        <v>6</v>
      </c>
      <c r="T2740" t="str">
        <f t="shared" si="328"/>
        <v/>
      </c>
    </row>
    <row r="2741" spans="1:20" hidden="1" x14ac:dyDescent="0.55000000000000004">
      <c r="A2741">
        <v>20</v>
      </c>
      <c r="B2741" s="15" t="str">
        <f t="shared" si="333"/>
        <v>20_6</v>
      </c>
      <c r="C2741" s="20">
        <v>46231.506944444445</v>
      </c>
      <c r="D2741" t="s">
        <v>172</v>
      </c>
      <c r="E2741">
        <v>2</v>
      </c>
      <c r="F2741" t="s">
        <v>182</v>
      </c>
      <c r="G2741" t="str">
        <f t="shared" si="327"/>
        <v>Galaxias brevipinnis</v>
      </c>
      <c r="H2741" t="str">
        <f t="shared" si="329"/>
        <v>Climbing_galaxias</v>
      </c>
      <c r="I2741" t="str">
        <f t="shared" si="330"/>
        <v>Kōaro</v>
      </c>
      <c r="J2741" t="str">
        <f t="shared" si="331"/>
        <v>Native</v>
      </c>
      <c r="K2741" t="str">
        <f t="shared" si="332"/>
        <v>Yes</v>
      </c>
      <c r="L2741">
        <v>1</v>
      </c>
      <c r="N2741">
        <v>95</v>
      </c>
      <c r="O2741">
        <v>8</v>
      </c>
      <c r="T2741" t="str">
        <f t="shared" si="328"/>
        <v/>
      </c>
    </row>
    <row r="2742" spans="1:20" hidden="1" x14ac:dyDescent="0.55000000000000004">
      <c r="A2742">
        <v>20</v>
      </c>
      <c r="B2742" s="15" t="str">
        <f t="shared" si="333"/>
        <v>20_6</v>
      </c>
      <c r="C2742" s="20">
        <v>46231.506944444445</v>
      </c>
      <c r="D2742" t="s">
        <v>172</v>
      </c>
      <c r="E2742">
        <v>2</v>
      </c>
      <c r="F2742" t="s">
        <v>182</v>
      </c>
      <c r="G2742" t="str">
        <f t="shared" ref="G2742:G2776" si="334">VLOOKUP($F2742, $W$1:$AB$10, 2, FALSE)</f>
        <v>Galaxias brevipinnis</v>
      </c>
      <c r="H2742" t="str">
        <f t="shared" si="329"/>
        <v>Climbing_galaxias</v>
      </c>
      <c r="I2742" t="str">
        <f t="shared" si="330"/>
        <v>Kōaro</v>
      </c>
      <c r="J2742" t="str">
        <f t="shared" si="331"/>
        <v>Native</v>
      </c>
      <c r="K2742" t="str">
        <f t="shared" si="332"/>
        <v>Yes</v>
      </c>
      <c r="L2742">
        <v>1</v>
      </c>
      <c r="N2742">
        <v>100</v>
      </c>
      <c r="O2742">
        <v>9</v>
      </c>
      <c r="T2742" t="str">
        <f t="shared" si="328"/>
        <v/>
      </c>
    </row>
    <row r="2743" spans="1:20" hidden="1" x14ac:dyDescent="0.55000000000000004">
      <c r="A2743">
        <v>20</v>
      </c>
      <c r="B2743" s="15" t="str">
        <f t="shared" si="333"/>
        <v>20_6</v>
      </c>
      <c r="C2743" s="20">
        <v>46231.506944444445</v>
      </c>
      <c r="D2743" t="s">
        <v>172</v>
      </c>
      <c r="E2743">
        <v>2</v>
      </c>
      <c r="F2743" t="s">
        <v>182</v>
      </c>
      <c r="G2743" t="str">
        <f t="shared" si="334"/>
        <v>Galaxias brevipinnis</v>
      </c>
      <c r="H2743" t="str">
        <f t="shared" si="329"/>
        <v>Climbing_galaxias</v>
      </c>
      <c r="I2743" t="str">
        <f t="shared" si="330"/>
        <v>Kōaro</v>
      </c>
      <c r="J2743" t="str">
        <f t="shared" si="331"/>
        <v>Native</v>
      </c>
      <c r="K2743" t="str">
        <f t="shared" si="332"/>
        <v>Yes</v>
      </c>
      <c r="L2743">
        <v>1</v>
      </c>
      <c r="N2743">
        <v>85</v>
      </c>
      <c r="O2743">
        <v>5</v>
      </c>
      <c r="T2743" t="str">
        <f t="shared" si="328"/>
        <v/>
      </c>
    </row>
    <row r="2744" spans="1:20" hidden="1" x14ac:dyDescent="0.55000000000000004">
      <c r="A2744">
        <v>20</v>
      </c>
      <c r="B2744" s="15" t="str">
        <f t="shared" si="333"/>
        <v>20_6</v>
      </c>
      <c r="C2744" s="20">
        <v>46231.506944444445</v>
      </c>
      <c r="D2744" t="s">
        <v>172</v>
      </c>
      <c r="E2744">
        <v>2</v>
      </c>
      <c r="F2744" t="s">
        <v>182</v>
      </c>
      <c r="G2744" t="str">
        <f t="shared" si="334"/>
        <v>Galaxias brevipinnis</v>
      </c>
      <c r="H2744" t="str">
        <f t="shared" si="329"/>
        <v>Climbing_galaxias</v>
      </c>
      <c r="I2744" t="str">
        <f t="shared" si="330"/>
        <v>Kōaro</v>
      </c>
      <c r="J2744" t="str">
        <f t="shared" si="331"/>
        <v>Native</v>
      </c>
      <c r="K2744" t="str">
        <f t="shared" si="332"/>
        <v>Yes</v>
      </c>
      <c r="L2744">
        <v>1</v>
      </c>
      <c r="N2744">
        <v>100</v>
      </c>
      <c r="O2744">
        <v>9</v>
      </c>
      <c r="T2744" t="str">
        <f t="shared" si="328"/>
        <v/>
      </c>
    </row>
    <row r="2745" spans="1:20" hidden="1" x14ac:dyDescent="0.55000000000000004">
      <c r="A2745">
        <v>20</v>
      </c>
      <c r="B2745" s="15" t="str">
        <f t="shared" si="333"/>
        <v>20_6</v>
      </c>
      <c r="C2745" s="20">
        <v>46231.506944444445</v>
      </c>
      <c r="D2745" t="s">
        <v>172</v>
      </c>
      <c r="E2745">
        <v>2</v>
      </c>
      <c r="F2745" t="s">
        <v>182</v>
      </c>
      <c r="G2745" t="str">
        <f t="shared" si="334"/>
        <v>Galaxias brevipinnis</v>
      </c>
      <c r="H2745" t="str">
        <f t="shared" si="329"/>
        <v>Climbing_galaxias</v>
      </c>
      <c r="I2745" t="str">
        <f t="shared" si="330"/>
        <v>Kōaro</v>
      </c>
      <c r="J2745" t="str">
        <f t="shared" si="331"/>
        <v>Native</v>
      </c>
      <c r="K2745" t="str">
        <f t="shared" si="332"/>
        <v>Yes</v>
      </c>
      <c r="L2745">
        <v>1</v>
      </c>
      <c r="N2745">
        <v>90</v>
      </c>
      <c r="O2745">
        <v>6</v>
      </c>
      <c r="T2745" t="str">
        <f t="shared" si="328"/>
        <v/>
      </c>
    </row>
    <row r="2746" spans="1:20" hidden="1" x14ac:dyDescent="0.55000000000000004">
      <c r="A2746">
        <v>20</v>
      </c>
      <c r="B2746" s="15" t="str">
        <f t="shared" si="333"/>
        <v>20_6</v>
      </c>
      <c r="C2746" s="20">
        <v>46231.506944444445</v>
      </c>
      <c r="D2746" t="s">
        <v>172</v>
      </c>
      <c r="E2746">
        <v>2</v>
      </c>
      <c r="F2746" t="s">
        <v>182</v>
      </c>
      <c r="G2746" t="str">
        <f t="shared" si="334"/>
        <v>Galaxias brevipinnis</v>
      </c>
      <c r="H2746" t="str">
        <f t="shared" si="329"/>
        <v>Climbing_galaxias</v>
      </c>
      <c r="I2746" t="str">
        <f t="shared" si="330"/>
        <v>Kōaro</v>
      </c>
      <c r="J2746" t="str">
        <f t="shared" si="331"/>
        <v>Native</v>
      </c>
      <c r="K2746" t="str">
        <f t="shared" si="332"/>
        <v>Yes</v>
      </c>
      <c r="L2746">
        <v>1</v>
      </c>
      <c r="N2746">
        <v>90</v>
      </c>
      <c r="O2746">
        <v>6</v>
      </c>
      <c r="T2746" t="str">
        <f t="shared" si="328"/>
        <v/>
      </c>
    </row>
    <row r="2747" spans="1:20" hidden="1" x14ac:dyDescent="0.55000000000000004">
      <c r="A2747">
        <v>20</v>
      </c>
      <c r="B2747" s="15" t="str">
        <f t="shared" si="333"/>
        <v>20_6</v>
      </c>
      <c r="C2747" s="20">
        <v>46231.506944444445</v>
      </c>
      <c r="D2747" t="s">
        <v>172</v>
      </c>
      <c r="E2747">
        <v>2</v>
      </c>
      <c r="F2747" t="s">
        <v>182</v>
      </c>
      <c r="G2747" t="str">
        <f t="shared" si="334"/>
        <v>Galaxias brevipinnis</v>
      </c>
      <c r="H2747" t="str">
        <f t="shared" si="329"/>
        <v>Climbing_galaxias</v>
      </c>
      <c r="I2747" t="str">
        <f t="shared" si="330"/>
        <v>Kōaro</v>
      </c>
      <c r="J2747" t="str">
        <f t="shared" si="331"/>
        <v>Native</v>
      </c>
      <c r="K2747" t="str">
        <f t="shared" si="332"/>
        <v>Yes</v>
      </c>
      <c r="L2747">
        <v>1</v>
      </c>
      <c r="N2747">
        <v>90</v>
      </c>
      <c r="O2747">
        <v>6</v>
      </c>
      <c r="T2747" t="str">
        <f t="shared" si="328"/>
        <v/>
      </c>
    </row>
    <row r="2748" spans="1:20" hidden="1" x14ac:dyDescent="0.55000000000000004">
      <c r="A2748">
        <v>20</v>
      </c>
      <c r="B2748" s="15" t="str">
        <f t="shared" si="333"/>
        <v>20_6</v>
      </c>
      <c r="C2748" s="20">
        <v>46231.506944444445</v>
      </c>
      <c r="D2748" t="s">
        <v>172</v>
      </c>
      <c r="E2748">
        <v>2</v>
      </c>
      <c r="F2748" t="s">
        <v>182</v>
      </c>
      <c r="G2748" t="str">
        <f t="shared" si="334"/>
        <v>Galaxias brevipinnis</v>
      </c>
      <c r="H2748" t="str">
        <f t="shared" si="329"/>
        <v>Climbing_galaxias</v>
      </c>
      <c r="I2748" t="str">
        <f t="shared" si="330"/>
        <v>Kōaro</v>
      </c>
      <c r="J2748" t="str">
        <f t="shared" si="331"/>
        <v>Native</v>
      </c>
      <c r="K2748" t="str">
        <f t="shared" si="332"/>
        <v>Yes</v>
      </c>
      <c r="L2748">
        <v>1</v>
      </c>
      <c r="N2748">
        <v>90</v>
      </c>
      <c r="O2748">
        <v>7</v>
      </c>
      <c r="T2748" t="str">
        <f t="shared" si="328"/>
        <v/>
      </c>
    </row>
    <row r="2749" spans="1:20" hidden="1" x14ac:dyDescent="0.55000000000000004">
      <c r="A2749">
        <v>20</v>
      </c>
      <c r="B2749" s="15" t="str">
        <f t="shared" si="333"/>
        <v>20_6</v>
      </c>
      <c r="C2749" s="20">
        <v>46231.506944444445</v>
      </c>
      <c r="D2749" t="s">
        <v>172</v>
      </c>
      <c r="E2749">
        <v>2</v>
      </c>
      <c r="F2749" t="s">
        <v>182</v>
      </c>
      <c r="G2749" t="str">
        <f t="shared" si="334"/>
        <v>Galaxias brevipinnis</v>
      </c>
      <c r="H2749" t="str">
        <f t="shared" si="329"/>
        <v>Climbing_galaxias</v>
      </c>
      <c r="I2749" t="str">
        <f t="shared" si="330"/>
        <v>Kōaro</v>
      </c>
      <c r="J2749" t="str">
        <f t="shared" si="331"/>
        <v>Native</v>
      </c>
      <c r="K2749" t="str">
        <f t="shared" si="332"/>
        <v>Yes</v>
      </c>
      <c r="L2749">
        <v>1</v>
      </c>
      <c r="N2749">
        <v>90</v>
      </c>
      <c r="O2749">
        <v>6</v>
      </c>
      <c r="T2749" t="str">
        <f t="shared" si="328"/>
        <v/>
      </c>
    </row>
    <row r="2750" spans="1:20" x14ac:dyDescent="0.55000000000000004">
      <c r="A2750">
        <v>20</v>
      </c>
      <c r="B2750" s="15" t="str">
        <f t="shared" si="333"/>
        <v>20_6</v>
      </c>
      <c r="C2750" s="20">
        <v>46231.506944444445</v>
      </c>
      <c r="D2750" t="s">
        <v>172</v>
      </c>
      <c r="E2750">
        <v>2</v>
      </c>
      <c r="F2750" t="s">
        <v>168</v>
      </c>
      <c r="G2750" t="str">
        <f t="shared" si="334"/>
        <v>Paranephrops planifrons</v>
      </c>
      <c r="H2750" t="str">
        <f t="shared" si="329"/>
        <v>Freshwater_crayfish</v>
      </c>
      <c r="I2750" t="str">
        <f t="shared" si="330"/>
        <v>Kōura</v>
      </c>
      <c r="J2750" t="str">
        <f t="shared" si="331"/>
        <v>Native</v>
      </c>
      <c r="K2750" t="str">
        <f t="shared" si="332"/>
        <v>Yes</v>
      </c>
      <c r="L2750">
        <v>1</v>
      </c>
      <c r="M2750" t="s">
        <v>198</v>
      </c>
      <c r="N2750">
        <v>26</v>
      </c>
      <c r="O2750">
        <v>14</v>
      </c>
      <c r="T2750" t="str">
        <f t="shared" si="328"/>
        <v/>
      </c>
    </row>
    <row r="2751" spans="1:20" x14ac:dyDescent="0.55000000000000004">
      <c r="A2751">
        <v>20</v>
      </c>
      <c r="B2751" s="15" t="str">
        <f t="shared" si="333"/>
        <v>20_6</v>
      </c>
      <c r="C2751" s="20">
        <v>46231.506944444445</v>
      </c>
      <c r="D2751" t="s">
        <v>172</v>
      </c>
      <c r="E2751">
        <v>2</v>
      </c>
      <c r="F2751" t="s">
        <v>168</v>
      </c>
      <c r="G2751" t="str">
        <f t="shared" si="334"/>
        <v>Paranephrops planifrons</v>
      </c>
      <c r="H2751" t="str">
        <f t="shared" si="329"/>
        <v>Freshwater_crayfish</v>
      </c>
      <c r="I2751" t="str">
        <f t="shared" si="330"/>
        <v>Kōura</v>
      </c>
      <c r="J2751" t="str">
        <f t="shared" si="331"/>
        <v>Native</v>
      </c>
      <c r="K2751" t="str">
        <f t="shared" si="332"/>
        <v>Yes</v>
      </c>
      <c r="L2751">
        <v>1</v>
      </c>
      <c r="M2751" t="s">
        <v>199</v>
      </c>
      <c r="N2751">
        <v>31</v>
      </c>
      <c r="O2751">
        <v>24</v>
      </c>
      <c r="T2751" t="str">
        <f t="shared" si="328"/>
        <v/>
      </c>
    </row>
    <row r="2752" spans="1:20" hidden="1" x14ac:dyDescent="0.55000000000000004">
      <c r="A2752">
        <v>20</v>
      </c>
      <c r="B2752" s="15" t="str">
        <f t="shared" si="333"/>
        <v>20_6</v>
      </c>
      <c r="C2752" s="20">
        <v>46231.506944444445</v>
      </c>
      <c r="D2752" t="s">
        <v>172</v>
      </c>
      <c r="E2752">
        <v>2</v>
      </c>
      <c r="F2752" t="s">
        <v>167</v>
      </c>
      <c r="G2752" t="str">
        <f t="shared" si="334"/>
        <v>Gobiomorphus cotidianus</v>
      </c>
      <c r="H2752" t="str">
        <f t="shared" si="329"/>
        <v>Common_bully</v>
      </c>
      <c r="I2752" t="str">
        <f t="shared" si="330"/>
        <v>Toitoi</v>
      </c>
      <c r="J2752" t="str">
        <f t="shared" si="331"/>
        <v>Native</v>
      </c>
      <c r="K2752" t="str">
        <f t="shared" si="332"/>
        <v>No</v>
      </c>
      <c r="N2752">
        <v>185</v>
      </c>
      <c r="O2752">
        <v>39</v>
      </c>
      <c r="S2752">
        <v>0.5</v>
      </c>
      <c r="T2752">
        <f t="shared" si="328"/>
        <v>118.294</v>
      </c>
    </row>
    <row r="2753" spans="1:20" hidden="1" x14ac:dyDescent="0.55000000000000004">
      <c r="A2753">
        <v>20</v>
      </c>
      <c r="B2753" s="15" t="str">
        <f t="shared" si="333"/>
        <v>20_6</v>
      </c>
      <c r="C2753" s="20">
        <v>46231.506944444445</v>
      </c>
      <c r="D2753" t="s">
        <v>172</v>
      </c>
      <c r="E2753">
        <v>2</v>
      </c>
      <c r="F2753" t="s">
        <v>182</v>
      </c>
      <c r="G2753" t="str">
        <f t="shared" si="334"/>
        <v>Galaxias brevipinnis</v>
      </c>
      <c r="H2753" t="str">
        <f t="shared" si="329"/>
        <v>Climbing_galaxias</v>
      </c>
      <c r="I2753" t="str">
        <f t="shared" si="330"/>
        <v>Kōaro</v>
      </c>
      <c r="J2753" t="str">
        <f t="shared" si="331"/>
        <v>Native</v>
      </c>
      <c r="K2753" t="str">
        <f t="shared" si="332"/>
        <v>Yes</v>
      </c>
      <c r="L2753">
        <v>1</v>
      </c>
      <c r="O2753">
        <v>67</v>
      </c>
      <c r="T2753" t="str">
        <f t="shared" si="328"/>
        <v/>
      </c>
    </row>
    <row r="2754" spans="1:20" hidden="1" x14ac:dyDescent="0.55000000000000004">
      <c r="A2754">
        <v>20</v>
      </c>
      <c r="B2754" s="15" t="str">
        <f t="shared" si="333"/>
        <v>20_6</v>
      </c>
      <c r="C2754" s="20">
        <v>46231.506944444445</v>
      </c>
      <c r="D2754" t="s">
        <v>172</v>
      </c>
      <c r="E2754">
        <v>2</v>
      </c>
      <c r="F2754" t="s">
        <v>182</v>
      </c>
      <c r="G2754" t="str">
        <f t="shared" si="334"/>
        <v>Galaxias brevipinnis</v>
      </c>
      <c r="H2754" t="str">
        <f t="shared" si="329"/>
        <v>Climbing_galaxias</v>
      </c>
      <c r="I2754" t="str">
        <f t="shared" si="330"/>
        <v>Kōaro</v>
      </c>
      <c r="J2754" t="str">
        <f t="shared" si="331"/>
        <v>Native</v>
      </c>
      <c r="K2754" t="str">
        <f t="shared" si="332"/>
        <v>Yes</v>
      </c>
      <c r="L2754">
        <v>13</v>
      </c>
      <c r="O2754">
        <v>126</v>
      </c>
      <c r="T2754" t="str">
        <f t="shared" si="328"/>
        <v/>
      </c>
    </row>
    <row r="2755" spans="1:20" hidden="1" x14ac:dyDescent="0.55000000000000004">
      <c r="A2755">
        <v>20</v>
      </c>
      <c r="B2755" s="15" t="str">
        <f t="shared" si="333"/>
        <v>20_6</v>
      </c>
      <c r="C2755" s="20">
        <v>46231.506944444445</v>
      </c>
      <c r="D2755" t="s">
        <v>172</v>
      </c>
      <c r="E2755">
        <v>2</v>
      </c>
      <c r="F2755" t="s">
        <v>182</v>
      </c>
      <c r="G2755" t="str">
        <f t="shared" si="334"/>
        <v>Galaxias brevipinnis</v>
      </c>
      <c r="H2755" t="str">
        <f t="shared" si="329"/>
        <v>Climbing_galaxias</v>
      </c>
      <c r="I2755" t="str">
        <f t="shared" si="330"/>
        <v>Kōaro</v>
      </c>
      <c r="J2755" t="str">
        <f t="shared" si="331"/>
        <v>Native</v>
      </c>
      <c r="K2755" t="str">
        <f t="shared" si="332"/>
        <v>Yes</v>
      </c>
      <c r="L2755">
        <v>14</v>
      </c>
      <c r="O2755">
        <v>134</v>
      </c>
      <c r="T2755" t="str">
        <f t="shared" ref="T2755:T2776" si="335">IF(S2755&lt;&gt;"", S2755*236.588, "")</f>
        <v/>
      </c>
    </row>
    <row r="2756" spans="1:20" hidden="1" x14ac:dyDescent="0.55000000000000004">
      <c r="A2756">
        <v>20</v>
      </c>
      <c r="B2756" s="15" t="str">
        <f t="shared" si="333"/>
        <v>20_6</v>
      </c>
      <c r="C2756" s="20">
        <v>46231.506944444445</v>
      </c>
      <c r="D2756" t="s">
        <v>172</v>
      </c>
      <c r="E2756">
        <v>2</v>
      </c>
      <c r="F2756" t="s">
        <v>182</v>
      </c>
      <c r="G2756" t="str">
        <f t="shared" si="334"/>
        <v>Galaxias brevipinnis</v>
      </c>
      <c r="H2756" t="str">
        <f t="shared" si="329"/>
        <v>Climbing_galaxias</v>
      </c>
      <c r="I2756" t="str">
        <f t="shared" si="330"/>
        <v>Kōaro</v>
      </c>
      <c r="J2756" t="str">
        <f t="shared" si="331"/>
        <v>Native</v>
      </c>
      <c r="K2756" t="str">
        <f t="shared" si="332"/>
        <v>Yes</v>
      </c>
      <c r="L2756">
        <v>8</v>
      </c>
      <c r="O2756">
        <v>46</v>
      </c>
      <c r="T2756" t="str">
        <f t="shared" si="335"/>
        <v/>
      </c>
    </row>
    <row r="2757" spans="1:20" x14ac:dyDescent="0.55000000000000004">
      <c r="A2757">
        <v>20</v>
      </c>
      <c r="B2757" s="15" t="str">
        <f t="shared" si="333"/>
        <v>20_6</v>
      </c>
      <c r="C2757" s="20">
        <v>46231.506944444445</v>
      </c>
      <c r="D2757" t="s">
        <v>172</v>
      </c>
      <c r="E2757">
        <v>2</v>
      </c>
      <c r="F2757" t="s">
        <v>168</v>
      </c>
      <c r="G2757" t="str">
        <f t="shared" si="334"/>
        <v>Paranephrops planifrons</v>
      </c>
      <c r="H2757" t="str">
        <f t="shared" si="329"/>
        <v>Freshwater_crayfish</v>
      </c>
      <c r="I2757" t="str">
        <f t="shared" si="330"/>
        <v>Kōura</v>
      </c>
      <c r="J2757" t="str">
        <f t="shared" si="331"/>
        <v>Native</v>
      </c>
      <c r="K2757" t="str">
        <f t="shared" si="332"/>
        <v>Yes</v>
      </c>
      <c r="L2757">
        <v>1</v>
      </c>
      <c r="M2757" t="s">
        <v>199</v>
      </c>
      <c r="N2757">
        <v>35</v>
      </c>
      <c r="O2757">
        <v>29</v>
      </c>
      <c r="P2757">
        <v>1</v>
      </c>
      <c r="T2757" t="str">
        <f t="shared" si="335"/>
        <v/>
      </c>
    </row>
    <row r="2758" spans="1:20" x14ac:dyDescent="0.55000000000000004">
      <c r="A2758">
        <v>20</v>
      </c>
      <c r="B2758" s="15" t="str">
        <f t="shared" si="333"/>
        <v>20_6</v>
      </c>
      <c r="C2758" s="20">
        <v>46231.506944444445</v>
      </c>
      <c r="D2758" t="s">
        <v>172</v>
      </c>
      <c r="E2758">
        <v>2</v>
      </c>
      <c r="F2758" t="s">
        <v>168</v>
      </c>
      <c r="G2758" t="str">
        <f t="shared" si="334"/>
        <v>Paranephrops planifrons</v>
      </c>
      <c r="H2758" t="str">
        <f t="shared" si="329"/>
        <v>Freshwater_crayfish</v>
      </c>
      <c r="I2758" t="str">
        <f t="shared" si="330"/>
        <v>Kōura</v>
      </c>
      <c r="J2758" t="str">
        <f t="shared" si="331"/>
        <v>Native</v>
      </c>
      <c r="K2758" t="str">
        <f t="shared" si="332"/>
        <v>Yes</v>
      </c>
      <c r="L2758">
        <v>1</v>
      </c>
      <c r="M2758" t="s">
        <v>199</v>
      </c>
      <c r="N2758">
        <v>33</v>
      </c>
      <c r="O2758">
        <v>28</v>
      </c>
      <c r="P2758">
        <v>1</v>
      </c>
      <c r="T2758" t="str">
        <f t="shared" si="335"/>
        <v/>
      </c>
    </row>
    <row r="2759" spans="1:20" x14ac:dyDescent="0.55000000000000004">
      <c r="A2759">
        <v>20</v>
      </c>
      <c r="B2759" s="15" t="str">
        <f t="shared" si="333"/>
        <v>20_6</v>
      </c>
      <c r="C2759" s="20">
        <v>46231.506944444445</v>
      </c>
      <c r="D2759" t="s">
        <v>172</v>
      </c>
      <c r="E2759">
        <v>2</v>
      </c>
      <c r="F2759" t="s">
        <v>168</v>
      </c>
      <c r="G2759" t="str">
        <f t="shared" si="334"/>
        <v>Paranephrops planifrons</v>
      </c>
      <c r="H2759" t="str">
        <f t="shared" si="329"/>
        <v>Freshwater_crayfish</v>
      </c>
      <c r="I2759" t="str">
        <f t="shared" si="330"/>
        <v>Kōura</v>
      </c>
      <c r="J2759" t="str">
        <f t="shared" si="331"/>
        <v>Native</v>
      </c>
      <c r="K2759" t="str">
        <f t="shared" si="332"/>
        <v>Yes</v>
      </c>
      <c r="L2759">
        <v>1</v>
      </c>
      <c r="M2759" t="s">
        <v>199</v>
      </c>
      <c r="N2759">
        <v>24</v>
      </c>
      <c r="O2759">
        <v>11</v>
      </c>
      <c r="T2759" t="str">
        <f t="shared" si="335"/>
        <v/>
      </c>
    </row>
    <row r="2760" spans="1:20" x14ac:dyDescent="0.55000000000000004">
      <c r="A2760">
        <v>20</v>
      </c>
      <c r="B2760" s="15" t="str">
        <f t="shared" si="333"/>
        <v>20_6</v>
      </c>
      <c r="C2760" s="20">
        <v>46231.506944444445</v>
      </c>
      <c r="D2760" t="s">
        <v>172</v>
      </c>
      <c r="E2760">
        <v>2</v>
      </c>
      <c r="F2760" t="s">
        <v>168</v>
      </c>
      <c r="G2760" t="str">
        <f t="shared" si="334"/>
        <v>Paranephrops planifrons</v>
      </c>
      <c r="H2760" t="str">
        <f t="shared" si="329"/>
        <v>Freshwater_crayfish</v>
      </c>
      <c r="I2760" t="str">
        <f t="shared" si="330"/>
        <v>Kōura</v>
      </c>
      <c r="J2760" t="str">
        <f t="shared" si="331"/>
        <v>Native</v>
      </c>
      <c r="K2760" t="str">
        <f t="shared" si="332"/>
        <v>Yes</v>
      </c>
      <c r="L2760">
        <v>1</v>
      </c>
      <c r="M2760" t="s">
        <v>198</v>
      </c>
      <c r="N2760">
        <v>22</v>
      </c>
      <c r="O2760">
        <v>8</v>
      </c>
      <c r="T2760" t="str">
        <f t="shared" si="335"/>
        <v/>
      </c>
    </row>
    <row r="2761" spans="1:20" x14ac:dyDescent="0.55000000000000004">
      <c r="A2761">
        <v>20</v>
      </c>
      <c r="B2761" s="15" t="str">
        <f t="shared" si="333"/>
        <v>20_6</v>
      </c>
      <c r="C2761" s="20">
        <v>46231.506944444445</v>
      </c>
      <c r="D2761" t="s">
        <v>172</v>
      </c>
      <c r="E2761">
        <v>2</v>
      </c>
      <c r="F2761" t="s">
        <v>168</v>
      </c>
      <c r="G2761" t="str">
        <f t="shared" si="334"/>
        <v>Paranephrops planifrons</v>
      </c>
      <c r="H2761" t="str">
        <f t="shared" si="329"/>
        <v>Freshwater_crayfish</v>
      </c>
      <c r="I2761" t="str">
        <f t="shared" si="330"/>
        <v>Kōura</v>
      </c>
      <c r="J2761" t="str">
        <f t="shared" si="331"/>
        <v>Native</v>
      </c>
      <c r="K2761" t="str">
        <f t="shared" si="332"/>
        <v>Yes</v>
      </c>
      <c r="L2761">
        <v>1</v>
      </c>
      <c r="M2761" t="s">
        <v>198</v>
      </c>
      <c r="N2761">
        <v>35</v>
      </c>
      <c r="O2761">
        <v>28</v>
      </c>
      <c r="T2761" t="str">
        <f t="shared" si="335"/>
        <v/>
      </c>
    </row>
    <row r="2762" spans="1:20" x14ac:dyDescent="0.55000000000000004">
      <c r="A2762">
        <v>20</v>
      </c>
      <c r="B2762" s="15" t="str">
        <f t="shared" si="333"/>
        <v>20_6</v>
      </c>
      <c r="C2762" s="20">
        <v>46231.506944444445</v>
      </c>
      <c r="D2762" t="s">
        <v>172</v>
      </c>
      <c r="E2762">
        <v>2</v>
      </c>
      <c r="F2762" t="s">
        <v>168</v>
      </c>
      <c r="G2762" t="str">
        <f t="shared" si="334"/>
        <v>Paranephrops planifrons</v>
      </c>
      <c r="H2762" t="str">
        <f t="shared" si="329"/>
        <v>Freshwater_crayfish</v>
      </c>
      <c r="I2762" t="str">
        <f t="shared" si="330"/>
        <v>Kōura</v>
      </c>
      <c r="J2762" t="str">
        <f t="shared" si="331"/>
        <v>Native</v>
      </c>
      <c r="K2762" t="str">
        <f t="shared" si="332"/>
        <v>Yes</v>
      </c>
      <c r="L2762">
        <v>1</v>
      </c>
      <c r="M2762" t="s">
        <v>199</v>
      </c>
      <c r="N2762">
        <v>25</v>
      </c>
      <c r="O2762">
        <v>12</v>
      </c>
      <c r="T2762" t="str">
        <f t="shared" si="335"/>
        <v/>
      </c>
    </row>
    <row r="2763" spans="1:20" x14ac:dyDescent="0.55000000000000004">
      <c r="A2763">
        <v>20</v>
      </c>
      <c r="B2763" s="15" t="str">
        <f t="shared" si="333"/>
        <v>20_6</v>
      </c>
      <c r="C2763" s="20">
        <v>46231.506944444445</v>
      </c>
      <c r="D2763" t="s">
        <v>172</v>
      </c>
      <c r="E2763">
        <v>2</v>
      </c>
      <c r="F2763" t="s">
        <v>168</v>
      </c>
      <c r="G2763" t="str">
        <f t="shared" si="334"/>
        <v>Paranephrops planifrons</v>
      </c>
      <c r="H2763" t="str">
        <f t="shared" si="329"/>
        <v>Freshwater_crayfish</v>
      </c>
      <c r="I2763" t="str">
        <f t="shared" si="330"/>
        <v>Kōura</v>
      </c>
      <c r="J2763" t="str">
        <f t="shared" si="331"/>
        <v>Native</v>
      </c>
      <c r="K2763" t="str">
        <f t="shared" si="332"/>
        <v>Yes</v>
      </c>
      <c r="L2763">
        <v>1</v>
      </c>
      <c r="M2763" t="s">
        <v>199</v>
      </c>
      <c r="N2763">
        <v>18</v>
      </c>
      <c r="O2763">
        <v>5</v>
      </c>
      <c r="T2763" t="str">
        <f t="shared" si="335"/>
        <v/>
      </c>
    </row>
    <row r="2764" spans="1:20" x14ac:dyDescent="0.55000000000000004">
      <c r="A2764">
        <v>20</v>
      </c>
      <c r="B2764" s="15" t="str">
        <f t="shared" si="333"/>
        <v>20_6</v>
      </c>
      <c r="C2764" s="20">
        <v>46231.506944444445</v>
      </c>
      <c r="D2764" t="s">
        <v>172</v>
      </c>
      <c r="E2764">
        <v>2</v>
      </c>
      <c r="F2764" t="s">
        <v>168</v>
      </c>
      <c r="G2764" t="str">
        <f t="shared" si="334"/>
        <v>Paranephrops planifrons</v>
      </c>
      <c r="H2764" t="str">
        <f t="shared" si="329"/>
        <v>Freshwater_crayfish</v>
      </c>
      <c r="I2764" t="str">
        <f t="shared" si="330"/>
        <v>Kōura</v>
      </c>
      <c r="J2764" t="str">
        <f t="shared" si="331"/>
        <v>Native</v>
      </c>
      <c r="K2764" t="str">
        <f t="shared" si="332"/>
        <v>Yes</v>
      </c>
      <c r="L2764">
        <v>1</v>
      </c>
      <c r="M2764" t="s">
        <v>199</v>
      </c>
      <c r="N2764">
        <v>24</v>
      </c>
      <c r="O2764">
        <v>11</v>
      </c>
      <c r="T2764" t="str">
        <f t="shared" si="335"/>
        <v/>
      </c>
    </row>
    <row r="2765" spans="1:20" x14ac:dyDescent="0.55000000000000004">
      <c r="A2765">
        <v>20</v>
      </c>
      <c r="B2765" s="15" t="str">
        <f t="shared" si="333"/>
        <v>20_6</v>
      </c>
      <c r="C2765" s="20">
        <v>46231.506944444445</v>
      </c>
      <c r="D2765" t="s">
        <v>172</v>
      </c>
      <c r="E2765">
        <v>2</v>
      </c>
      <c r="F2765" t="s">
        <v>168</v>
      </c>
      <c r="G2765" t="str">
        <f t="shared" si="334"/>
        <v>Paranephrops planifrons</v>
      </c>
      <c r="H2765" t="str">
        <f t="shared" si="329"/>
        <v>Freshwater_crayfish</v>
      </c>
      <c r="I2765" t="str">
        <f t="shared" si="330"/>
        <v>Kōura</v>
      </c>
      <c r="J2765" t="str">
        <f t="shared" si="331"/>
        <v>Native</v>
      </c>
      <c r="K2765" t="str">
        <f t="shared" si="332"/>
        <v>Yes</v>
      </c>
      <c r="L2765">
        <v>1</v>
      </c>
      <c r="M2765" t="s">
        <v>199</v>
      </c>
      <c r="N2765">
        <v>36</v>
      </c>
      <c r="O2765">
        <v>31</v>
      </c>
      <c r="T2765" t="str">
        <f t="shared" si="335"/>
        <v/>
      </c>
    </row>
    <row r="2766" spans="1:20" x14ac:dyDescent="0.55000000000000004">
      <c r="A2766">
        <v>20</v>
      </c>
      <c r="B2766" s="15" t="str">
        <f t="shared" si="333"/>
        <v>20_6</v>
      </c>
      <c r="C2766" s="20">
        <v>46231.506944444445</v>
      </c>
      <c r="D2766" t="s">
        <v>172</v>
      </c>
      <c r="E2766">
        <v>2</v>
      </c>
      <c r="F2766" t="s">
        <v>168</v>
      </c>
      <c r="G2766" t="str">
        <f t="shared" si="334"/>
        <v>Paranephrops planifrons</v>
      </c>
      <c r="H2766" t="str">
        <f t="shared" si="329"/>
        <v>Freshwater_crayfish</v>
      </c>
      <c r="I2766" t="str">
        <f t="shared" si="330"/>
        <v>Kōura</v>
      </c>
      <c r="J2766" t="str">
        <f t="shared" si="331"/>
        <v>Native</v>
      </c>
      <c r="K2766" t="str">
        <f t="shared" si="332"/>
        <v>Yes</v>
      </c>
      <c r="L2766">
        <v>1</v>
      </c>
      <c r="M2766" t="s">
        <v>199</v>
      </c>
      <c r="N2766">
        <v>29</v>
      </c>
      <c r="O2766">
        <v>16</v>
      </c>
      <c r="P2766">
        <v>1</v>
      </c>
      <c r="T2766" t="str">
        <f t="shared" si="335"/>
        <v/>
      </c>
    </row>
    <row r="2767" spans="1:20" x14ac:dyDescent="0.55000000000000004">
      <c r="A2767">
        <v>20</v>
      </c>
      <c r="B2767" s="15" t="str">
        <f t="shared" si="333"/>
        <v>20_6</v>
      </c>
      <c r="C2767" s="20">
        <v>46231.506944444445</v>
      </c>
      <c r="D2767" t="s">
        <v>172</v>
      </c>
      <c r="E2767">
        <v>2</v>
      </c>
      <c r="F2767" t="s">
        <v>168</v>
      </c>
      <c r="G2767" t="str">
        <f t="shared" si="334"/>
        <v>Paranephrops planifrons</v>
      </c>
      <c r="H2767" t="str">
        <f t="shared" si="329"/>
        <v>Freshwater_crayfish</v>
      </c>
      <c r="I2767" t="str">
        <f t="shared" si="330"/>
        <v>Kōura</v>
      </c>
      <c r="J2767" t="str">
        <f t="shared" si="331"/>
        <v>Native</v>
      </c>
      <c r="K2767" t="str">
        <f t="shared" si="332"/>
        <v>Yes</v>
      </c>
      <c r="L2767">
        <v>1</v>
      </c>
      <c r="M2767" t="s">
        <v>199</v>
      </c>
      <c r="N2767">
        <v>34</v>
      </c>
      <c r="O2767">
        <v>30</v>
      </c>
      <c r="T2767" t="str">
        <f t="shared" si="335"/>
        <v/>
      </c>
    </row>
    <row r="2768" spans="1:20" x14ac:dyDescent="0.55000000000000004">
      <c r="A2768">
        <v>20</v>
      </c>
      <c r="B2768" s="15" t="str">
        <f t="shared" si="333"/>
        <v>20_6</v>
      </c>
      <c r="C2768" s="20">
        <v>46231.506944444445</v>
      </c>
      <c r="D2768" t="s">
        <v>172</v>
      </c>
      <c r="E2768">
        <v>2</v>
      </c>
      <c r="F2768" t="s">
        <v>168</v>
      </c>
      <c r="G2768" t="str">
        <f t="shared" si="334"/>
        <v>Paranephrops planifrons</v>
      </c>
      <c r="H2768" t="str">
        <f t="shared" ref="H2768:H2776" si="336">VLOOKUP($F2768, $W$1:$AB$10, 3, FALSE)</f>
        <v>Freshwater_crayfish</v>
      </c>
      <c r="I2768" t="str">
        <f t="shared" ref="I2768:I2776" si="337">VLOOKUP($F2768, $W$1:$AB$10, 4, FALSE)</f>
        <v>Kōura</v>
      </c>
      <c r="J2768" t="str">
        <f t="shared" ref="J2768:J2776" si="338">VLOOKUP($F2768, $W$1:$AC$10, 5, FALSE)</f>
        <v>Native</v>
      </c>
      <c r="K2768" t="str">
        <f t="shared" ref="K2768:K2776" si="339">VLOOKUP($F2768, $W$1:$AB$10, 6, FALSE)</f>
        <v>Yes</v>
      </c>
      <c r="L2768">
        <v>1</v>
      </c>
      <c r="M2768" t="s">
        <v>199</v>
      </c>
      <c r="N2768">
        <v>20</v>
      </c>
      <c r="O2768">
        <v>6</v>
      </c>
      <c r="T2768" t="str">
        <f t="shared" si="335"/>
        <v/>
      </c>
    </row>
    <row r="2769" spans="1:20" x14ac:dyDescent="0.55000000000000004">
      <c r="A2769">
        <v>20</v>
      </c>
      <c r="B2769" s="15" t="str">
        <f t="shared" si="333"/>
        <v>20_6</v>
      </c>
      <c r="C2769" s="20">
        <v>46231.506944444445</v>
      </c>
      <c r="D2769" t="s">
        <v>172</v>
      </c>
      <c r="E2769">
        <v>2</v>
      </c>
      <c r="F2769" t="s">
        <v>168</v>
      </c>
      <c r="G2769" t="str">
        <f t="shared" si="334"/>
        <v>Paranephrops planifrons</v>
      </c>
      <c r="H2769" t="str">
        <f t="shared" si="336"/>
        <v>Freshwater_crayfish</v>
      </c>
      <c r="I2769" t="str">
        <f t="shared" si="337"/>
        <v>Kōura</v>
      </c>
      <c r="J2769" t="str">
        <f t="shared" si="338"/>
        <v>Native</v>
      </c>
      <c r="K2769" t="str">
        <f t="shared" si="339"/>
        <v>Yes</v>
      </c>
      <c r="L2769">
        <v>1</v>
      </c>
      <c r="M2769" t="s">
        <v>199</v>
      </c>
      <c r="N2769">
        <v>19</v>
      </c>
      <c r="O2769">
        <v>5</v>
      </c>
      <c r="T2769" t="str">
        <f t="shared" si="335"/>
        <v/>
      </c>
    </row>
    <row r="2770" spans="1:20" x14ac:dyDescent="0.55000000000000004">
      <c r="A2770">
        <v>20</v>
      </c>
      <c r="B2770" s="15" t="str">
        <f t="shared" si="333"/>
        <v>20_6</v>
      </c>
      <c r="C2770" s="20">
        <v>46231.506944444445</v>
      </c>
      <c r="D2770" t="s">
        <v>172</v>
      </c>
      <c r="E2770">
        <v>2</v>
      </c>
      <c r="F2770" t="s">
        <v>168</v>
      </c>
      <c r="G2770" t="str">
        <f t="shared" si="334"/>
        <v>Paranephrops planifrons</v>
      </c>
      <c r="H2770" t="str">
        <f t="shared" si="336"/>
        <v>Freshwater_crayfish</v>
      </c>
      <c r="I2770" t="str">
        <f t="shared" si="337"/>
        <v>Kōura</v>
      </c>
      <c r="J2770" t="str">
        <f t="shared" si="338"/>
        <v>Native</v>
      </c>
      <c r="K2770" t="str">
        <f t="shared" si="339"/>
        <v>Yes</v>
      </c>
      <c r="L2770">
        <v>1</v>
      </c>
      <c r="M2770" t="s">
        <v>199</v>
      </c>
      <c r="N2770">
        <v>28</v>
      </c>
      <c r="O2770">
        <v>17</v>
      </c>
      <c r="T2770" t="str">
        <f t="shared" si="335"/>
        <v/>
      </c>
    </row>
    <row r="2771" spans="1:20" x14ac:dyDescent="0.55000000000000004">
      <c r="A2771">
        <v>20</v>
      </c>
      <c r="B2771" s="15" t="str">
        <f t="shared" si="333"/>
        <v>20_6</v>
      </c>
      <c r="C2771" s="20">
        <v>46231.506944444445</v>
      </c>
      <c r="D2771" t="s">
        <v>172</v>
      </c>
      <c r="E2771">
        <v>2</v>
      </c>
      <c r="F2771" t="s">
        <v>168</v>
      </c>
      <c r="G2771" t="str">
        <f t="shared" si="334"/>
        <v>Paranephrops planifrons</v>
      </c>
      <c r="H2771" t="str">
        <f t="shared" si="336"/>
        <v>Freshwater_crayfish</v>
      </c>
      <c r="I2771" t="str">
        <f t="shared" si="337"/>
        <v>Kōura</v>
      </c>
      <c r="J2771" t="str">
        <f t="shared" si="338"/>
        <v>Native</v>
      </c>
      <c r="K2771" t="str">
        <f t="shared" si="339"/>
        <v>Yes</v>
      </c>
      <c r="L2771">
        <v>1</v>
      </c>
      <c r="M2771" t="s">
        <v>199</v>
      </c>
      <c r="N2771">
        <v>23</v>
      </c>
      <c r="O2771">
        <v>10</v>
      </c>
      <c r="T2771" t="str">
        <f t="shared" si="335"/>
        <v/>
      </c>
    </row>
    <row r="2772" spans="1:20" x14ac:dyDescent="0.55000000000000004">
      <c r="A2772">
        <v>20</v>
      </c>
      <c r="B2772" s="15" t="str">
        <f t="shared" si="333"/>
        <v>20_6</v>
      </c>
      <c r="C2772" s="20">
        <v>46231.506944444445</v>
      </c>
      <c r="D2772" t="s">
        <v>172</v>
      </c>
      <c r="E2772">
        <v>2</v>
      </c>
      <c r="F2772" t="s">
        <v>168</v>
      </c>
      <c r="G2772" t="str">
        <f t="shared" si="334"/>
        <v>Paranephrops planifrons</v>
      </c>
      <c r="H2772" t="str">
        <f t="shared" si="336"/>
        <v>Freshwater_crayfish</v>
      </c>
      <c r="I2772" t="str">
        <f t="shared" si="337"/>
        <v>Kōura</v>
      </c>
      <c r="J2772" t="str">
        <f t="shared" si="338"/>
        <v>Native</v>
      </c>
      <c r="K2772" t="str">
        <f t="shared" si="339"/>
        <v>Yes</v>
      </c>
      <c r="L2772">
        <v>1</v>
      </c>
      <c r="M2772" t="s">
        <v>198</v>
      </c>
      <c r="N2772">
        <v>26</v>
      </c>
      <c r="O2772">
        <v>12</v>
      </c>
      <c r="T2772" t="str">
        <f t="shared" si="335"/>
        <v/>
      </c>
    </row>
    <row r="2773" spans="1:20" x14ac:dyDescent="0.55000000000000004">
      <c r="A2773">
        <v>20</v>
      </c>
      <c r="B2773" s="15" t="str">
        <f t="shared" si="333"/>
        <v>20_6</v>
      </c>
      <c r="C2773" s="20">
        <v>46231.506944444445</v>
      </c>
      <c r="D2773" t="s">
        <v>172</v>
      </c>
      <c r="E2773">
        <v>2</v>
      </c>
      <c r="F2773" t="s">
        <v>168</v>
      </c>
      <c r="G2773" t="str">
        <f t="shared" si="334"/>
        <v>Paranephrops planifrons</v>
      </c>
      <c r="H2773" t="str">
        <f t="shared" si="336"/>
        <v>Freshwater_crayfish</v>
      </c>
      <c r="I2773" t="str">
        <f t="shared" si="337"/>
        <v>Kōura</v>
      </c>
      <c r="J2773" t="str">
        <f t="shared" si="338"/>
        <v>Native</v>
      </c>
      <c r="K2773" t="str">
        <f t="shared" si="339"/>
        <v>Yes</v>
      </c>
      <c r="L2773">
        <v>1</v>
      </c>
      <c r="M2773" t="s">
        <v>199</v>
      </c>
      <c r="N2773">
        <v>20</v>
      </c>
      <c r="O2773">
        <v>6</v>
      </c>
      <c r="T2773" t="str">
        <f t="shared" si="335"/>
        <v/>
      </c>
    </row>
    <row r="2774" spans="1:20" hidden="1" x14ac:dyDescent="0.55000000000000004">
      <c r="A2774">
        <v>20</v>
      </c>
      <c r="B2774" s="15" t="str">
        <f t="shared" si="333"/>
        <v>20_6</v>
      </c>
      <c r="C2774" s="20">
        <v>46231.506944444445</v>
      </c>
      <c r="D2774" t="s">
        <v>172</v>
      </c>
      <c r="E2774">
        <v>2</v>
      </c>
      <c r="F2774" t="s">
        <v>181</v>
      </c>
      <c r="G2774" t="str">
        <f t="shared" si="334"/>
        <v>Retropinna retropinna</v>
      </c>
      <c r="H2774" t="str">
        <f t="shared" si="336"/>
        <v>Common_smelt</v>
      </c>
      <c r="I2774" t="str">
        <f t="shared" si="337"/>
        <v>Common_smelt</v>
      </c>
      <c r="J2774" t="str">
        <f t="shared" si="338"/>
        <v>Native</v>
      </c>
      <c r="K2774" t="str">
        <f t="shared" si="339"/>
        <v>No</v>
      </c>
      <c r="O2774">
        <v>40</v>
      </c>
      <c r="T2774" t="str">
        <f t="shared" si="335"/>
        <v/>
      </c>
    </row>
    <row r="2775" spans="1:20" hidden="1" x14ac:dyDescent="0.55000000000000004">
      <c r="A2775">
        <v>20</v>
      </c>
      <c r="B2775" s="15" t="str">
        <f t="shared" si="333"/>
        <v>20_6</v>
      </c>
      <c r="C2775" s="20">
        <v>46231.506944444445</v>
      </c>
      <c r="D2775" t="s">
        <v>172</v>
      </c>
      <c r="E2775">
        <v>2</v>
      </c>
      <c r="F2775" t="s">
        <v>182</v>
      </c>
      <c r="G2775" t="str">
        <f t="shared" si="334"/>
        <v>Galaxias brevipinnis</v>
      </c>
      <c r="H2775" t="str">
        <f t="shared" si="336"/>
        <v>Climbing_galaxias</v>
      </c>
      <c r="I2775" t="str">
        <f t="shared" si="337"/>
        <v>Kōaro</v>
      </c>
      <c r="J2775" t="str">
        <f t="shared" si="338"/>
        <v>Native</v>
      </c>
      <c r="K2775" t="str">
        <f t="shared" si="339"/>
        <v>Yes</v>
      </c>
      <c r="L2775">
        <v>1</v>
      </c>
      <c r="N2775">
        <v>100</v>
      </c>
      <c r="O2775">
        <v>4</v>
      </c>
      <c r="T2775" t="str">
        <f t="shared" si="335"/>
        <v/>
      </c>
    </row>
    <row r="2776" spans="1:20" hidden="1" x14ac:dyDescent="0.55000000000000004">
      <c r="A2776">
        <v>20</v>
      </c>
      <c r="B2776" s="15" t="str">
        <f t="shared" si="333"/>
        <v>20_6</v>
      </c>
      <c r="C2776" s="20">
        <v>46231.506944444445</v>
      </c>
      <c r="D2776" t="s">
        <v>172</v>
      </c>
      <c r="E2776">
        <v>2</v>
      </c>
      <c r="F2776" t="s">
        <v>167</v>
      </c>
      <c r="G2776" t="str">
        <f t="shared" si="334"/>
        <v>Gobiomorphus cotidianus</v>
      </c>
      <c r="H2776" t="str">
        <f t="shared" si="336"/>
        <v>Common_bully</v>
      </c>
      <c r="I2776" t="str">
        <f t="shared" si="337"/>
        <v>Toitoi</v>
      </c>
      <c r="J2776" t="str">
        <f t="shared" si="338"/>
        <v>Native</v>
      </c>
      <c r="K2776" t="str">
        <f t="shared" si="339"/>
        <v>No</v>
      </c>
      <c r="O2776">
        <v>155</v>
      </c>
      <c r="S2776">
        <v>0.5</v>
      </c>
      <c r="T2776">
        <f t="shared" si="335"/>
        <v>118.294</v>
      </c>
    </row>
  </sheetData>
  <autoFilter ref="A1:U2776" xr:uid="{E46ED7A9-B031-4043-9502-E2FC04BF86A1}">
    <filterColumn colId="5">
      <filters>
        <filter val="Kōura"/>
      </filters>
    </filterColumn>
  </autoFilter>
  <phoneticPr fontId="3" type="noConversion"/>
  <dataValidations count="1">
    <dataValidation type="list" allowBlank="1" showInputMessage="1" showErrorMessage="1" sqref="F2:F2359 F2361:F2521 F2523:F2670 F2672:F2776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42"/>
  <sheetViews>
    <sheetView topLeftCell="A13" workbookViewId="0">
      <selection activeCell="G45" sqref="G45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  <row r="40" spans="1:8" x14ac:dyDescent="0.55000000000000004">
      <c r="A40">
        <v>3</v>
      </c>
      <c r="B40" s="15" t="str">
        <f t="shared" ref="B40:B42" si="4">A40 &amp; "_6"</f>
        <v>3_6</v>
      </c>
      <c r="C40" s="20">
        <v>46233.46875</v>
      </c>
      <c r="D40" t="s">
        <v>172</v>
      </c>
      <c r="E40" t="s">
        <v>216</v>
      </c>
      <c r="H40">
        <v>1</v>
      </c>
    </row>
    <row r="41" spans="1:8" x14ac:dyDescent="0.55000000000000004">
      <c r="A41">
        <v>4</v>
      </c>
      <c r="B41" s="15" t="str">
        <f t="shared" si="4"/>
        <v>4_6</v>
      </c>
      <c r="C41" s="20">
        <v>46233.458333333336</v>
      </c>
      <c r="D41" t="s">
        <v>172</v>
      </c>
      <c r="E41" t="s">
        <v>216</v>
      </c>
      <c r="H41">
        <v>1</v>
      </c>
    </row>
    <row r="42" spans="1:8" x14ac:dyDescent="0.55000000000000004">
      <c r="A42">
        <v>16</v>
      </c>
      <c r="B42" s="15" t="str">
        <f t="shared" si="4"/>
        <v>16_6</v>
      </c>
      <c r="C42" s="20">
        <v>46231.388888888891</v>
      </c>
      <c r="D42" t="s">
        <v>172</v>
      </c>
      <c r="E42" t="s">
        <v>216</v>
      </c>
      <c r="H42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0"/>
  <sheetViews>
    <sheetView workbookViewId="0">
      <selection activeCell="I18" sqref="I18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2026-08-09T00:48:44Z</dcterms:modified>
  <cp:category/>
  <cp:contentStatus/>
</cp:coreProperties>
</file>