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stone_piles_rotoiti/data/raw/"/>
    </mc:Choice>
  </mc:AlternateContent>
  <xr:revisionPtr revIDLastSave="14777" documentId="13_ncr:1_{D5E1776F-B224-4599-B10D-B7CDAA083427}" xr6:coauthVersionLast="47" xr6:coauthVersionMax="47" xr10:uidLastSave="{289C9542-7C56-4812-B644-EC1EFC5687C8}"/>
  <bookViews>
    <workbookView minimized="1" xWindow="-21105" yWindow="5985" windowWidth="7500" windowHeight="9990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1" hidden="1">Monitoring_data!$A$1:$G$841</definedName>
    <definedName name="_xlnm._FilterDatabase" localSheetId="4" hidden="1">Stone_pile_data!$A$1:$G$196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54" i="2" l="1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2" i="2"/>
  <c r="H2522" i="2"/>
  <c r="I2522" i="2"/>
  <c r="J2522" i="2"/>
  <c r="K2522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1" i="2"/>
  <c r="H2671" i="2"/>
  <c r="I2671" i="2"/>
  <c r="J2671" i="2"/>
  <c r="K2671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2777" i="2"/>
  <c r="H2777" i="2"/>
  <c r="I2777" i="2"/>
  <c r="J2777" i="2"/>
  <c r="K2777" i="2"/>
  <c r="G2778" i="2"/>
  <c r="H2778" i="2"/>
  <c r="I2778" i="2"/>
  <c r="J2778" i="2"/>
  <c r="K2778" i="2"/>
  <c r="G2779" i="2"/>
  <c r="H2779" i="2"/>
  <c r="I2779" i="2"/>
  <c r="J2779" i="2"/>
  <c r="K2779" i="2"/>
  <c r="G2780" i="2"/>
  <c r="H2780" i="2"/>
  <c r="I2780" i="2"/>
  <c r="J2780" i="2"/>
  <c r="K2780" i="2"/>
  <c r="G2781" i="2"/>
  <c r="H2781" i="2"/>
  <c r="I2781" i="2"/>
  <c r="J2781" i="2"/>
  <c r="K2781" i="2"/>
  <c r="G2782" i="2"/>
  <c r="H2782" i="2"/>
  <c r="I2782" i="2"/>
  <c r="J2782" i="2"/>
  <c r="K2782" i="2"/>
  <c r="G2783" i="2"/>
  <c r="H2783" i="2"/>
  <c r="I2783" i="2"/>
  <c r="J2783" i="2"/>
  <c r="K2783" i="2"/>
  <c r="G2784" i="2"/>
  <c r="H2784" i="2"/>
  <c r="I2784" i="2"/>
  <c r="J2784" i="2"/>
  <c r="K2784" i="2"/>
  <c r="G2785" i="2"/>
  <c r="H2785" i="2"/>
  <c r="I2785" i="2"/>
  <c r="J2785" i="2"/>
  <c r="K2785" i="2"/>
  <c r="G2786" i="2"/>
  <c r="H2786" i="2"/>
  <c r="I2786" i="2"/>
  <c r="J2786" i="2"/>
  <c r="K2786" i="2"/>
  <c r="G2787" i="2"/>
  <c r="H2787" i="2"/>
  <c r="I2787" i="2"/>
  <c r="J2787" i="2"/>
  <c r="K2787" i="2"/>
  <c r="G2788" i="2"/>
  <c r="H2788" i="2"/>
  <c r="I2788" i="2"/>
  <c r="J2788" i="2"/>
  <c r="K2788" i="2"/>
  <c r="G2789" i="2"/>
  <c r="H2789" i="2"/>
  <c r="I2789" i="2"/>
  <c r="J2789" i="2"/>
  <c r="K2789" i="2"/>
  <c r="G2790" i="2"/>
  <c r="H2790" i="2"/>
  <c r="I2790" i="2"/>
  <c r="J2790" i="2"/>
  <c r="K2790" i="2"/>
  <c r="G2791" i="2"/>
  <c r="H2791" i="2"/>
  <c r="I2791" i="2"/>
  <c r="J2791" i="2"/>
  <c r="K2791" i="2"/>
  <c r="G2792" i="2"/>
  <c r="H2792" i="2"/>
  <c r="I2792" i="2"/>
  <c r="J2792" i="2"/>
  <c r="K2792" i="2"/>
  <c r="G2793" i="2"/>
  <c r="H2793" i="2"/>
  <c r="I2793" i="2"/>
  <c r="J2793" i="2"/>
  <c r="K2793" i="2"/>
  <c r="G2794" i="2"/>
  <c r="H2794" i="2"/>
  <c r="I2794" i="2"/>
  <c r="J2794" i="2"/>
  <c r="K2794" i="2"/>
  <c r="G2795" i="2"/>
  <c r="H2795" i="2"/>
  <c r="I2795" i="2"/>
  <c r="J2795" i="2"/>
  <c r="K2795" i="2"/>
  <c r="G2796" i="2"/>
  <c r="H2796" i="2"/>
  <c r="I2796" i="2"/>
  <c r="J2796" i="2"/>
  <c r="K2796" i="2"/>
  <c r="G2797" i="2"/>
  <c r="H2797" i="2"/>
  <c r="I2797" i="2"/>
  <c r="J2797" i="2"/>
  <c r="K2797" i="2"/>
  <c r="G2798" i="2"/>
  <c r="H2798" i="2"/>
  <c r="I2798" i="2"/>
  <c r="J2798" i="2"/>
  <c r="K2798" i="2"/>
  <c r="G2799" i="2"/>
  <c r="H2799" i="2"/>
  <c r="I2799" i="2"/>
  <c r="J2799" i="2"/>
  <c r="K2799" i="2"/>
  <c r="G2800" i="2"/>
  <c r="H2800" i="2"/>
  <c r="I2800" i="2"/>
  <c r="J2800" i="2"/>
  <c r="K2800" i="2"/>
  <c r="G2801" i="2"/>
  <c r="H2801" i="2"/>
  <c r="I2801" i="2"/>
  <c r="J2801" i="2"/>
  <c r="K2801" i="2"/>
  <c r="G2802" i="2"/>
  <c r="H2802" i="2"/>
  <c r="I2802" i="2"/>
  <c r="J2802" i="2"/>
  <c r="K2802" i="2"/>
  <c r="G2803" i="2"/>
  <c r="H2803" i="2"/>
  <c r="I2803" i="2"/>
  <c r="J2803" i="2"/>
  <c r="K2803" i="2"/>
  <c r="G2804" i="2"/>
  <c r="H2804" i="2"/>
  <c r="I2804" i="2"/>
  <c r="J2804" i="2"/>
  <c r="K2804" i="2"/>
  <c r="G2805" i="2"/>
  <c r="H2805" i="2"/>
  <c r="I2805" i="2"/>
  <c r="J2805" i="2"/>
  <c r="K2805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F6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<sst xmlns="http://schemas.openxmlformats.org/spreadsheetml/2006/main" count="10569" uniqueCount="266">
  <si>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</si>
  <si>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</si>
  <si>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</si>
  <si>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</si>
  <si>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</si>
  <si>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</si>
  <si>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</si>
  <si>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</si>
  <si>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</si>
  <si>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</si>
  <si>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</si>
  <si>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</si>
  <si>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</si>
  <si>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</si>
  <si>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</si>
  <si>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</si>
  <si>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</si>
  <si>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</si>
  <si>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</si>
  <si>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</si>
  <si>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</si>
  <si>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</si>
  <si>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</si>
  <si>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</si>
  <si>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</si>
  <si>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</si>
  <si>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</si>
  <si>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</si>
  <si>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</si>
  <si>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</si>
  <si>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</si>
  <si>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</si>
  <si>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</si>
  <si>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</si>
  <si>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</si>
  <si>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</si>
  <si>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</si>
  <si>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</si>
  <si>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</si>
  <si>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</si>
  <si>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</si>
  <si>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</si>
  <si>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</si>
  <si>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</si>
  <si>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</si>
  <si>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</si>
  <si>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</si>
  <si>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</si>
  <si>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</si>
  <si>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</si>
  <si>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</si>
  <si>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</si>
  <si>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</si>
  <si>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</si>
  <si>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</si>
  <si>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</si>
  <si>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</si>
  <si>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</si>
  <si>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</si>
  <si>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</si>
  <si>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</si>
  <si>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</si>
  <si>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</si>
  <si>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</si>
  <si>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</si>
  <si>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</si>
  <si>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</si>
  <si>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</si>
  <si>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</si>
  <si>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</si>
  <si>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</si>
  <si>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</si>
  <si>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</si>
  <si>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</si>
  <si>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</si>
  <si>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</si>
  <si>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</si>
  <si>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</si>
  <si>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</si>
  <si>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</si>
  <si>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</si>
  <si>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</si>
  <si>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</si>
  <si>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</si>
  <si>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</si>
  <si>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</si>
  <si>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</si>
  <si>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</si>
  <si>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</si>
  <si>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</si>
  <si>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</si>
  <si>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</si>
  <si>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</si>
  <si>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</si>
  <si>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</si>
  <si>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</si>
  <si>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</si>
  <si>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</si>
  <si>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</si>
  <si>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</si>
  <si>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</si>
  <si>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</si>
  <si>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</si>
  <si>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</si>
  <si>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</si>
  <si>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</si>
  <si>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</si>
  <si>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</si>
  <si>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</si>
  <si>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</si>
  <si>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</si>
  <si>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</si>
  <si>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</si>
  <si>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</si>
  <si>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</si>
  <si>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</si>
  <si>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</si>
  <si>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</si>
  <si>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</si>
  <si>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</si>
  <si>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</si>
  <si>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</si>
  <si>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</si>
  <si>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</si>
  <si>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</si>
  <si>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</si>
  <si>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</si>
  <si>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</si>
  <si>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</si>
  <si>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</si>
  <si>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</si>
  <si>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</si>
  <si>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</si>
  <si>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</si>
  <si>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</si>
  <si>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</si>
  <si>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</si>
  <si>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</si>
  <si>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</si>
  <si>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</si>
  <si>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</si>
  <si>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</si>
  <si>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</si>
  <si>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</si>
  <si>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</si>
  <si>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</si>
  <si>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</si>
  <si>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</si>
  <si>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</si>
  <si>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</si>
  <si>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</si>
  <si>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</si>
  <si>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</si>
  <si>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</si>
  <si>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</si>
  <si>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</si>
  <si>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</si>
  <si>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</si>
  <si>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</si>
  <si>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</si>
  <si>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</si>
  <si>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</si>
  <si>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</si>
  <si>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</si>
  <si>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</si>
  <si>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</si>
  <si>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</si>
  <si>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</si>
  <si>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</si>
  <si>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</si>
  <si>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</si>
  <si>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</si>
  <si>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</si>
  <si>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</si>
  <si>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</si>
  <si>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</si>
  <si>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</si>
  <si>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</si>
  <si>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</si>
  <si>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</si>
  <si>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</si>
  <si>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</si>
  <si>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</si>
  <si>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</si>
  <si>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</si>
  <si>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</si>
  <si>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</si>
  <si>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</si>
  <si>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</si>
  <si>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</si>
  <si>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</si>
  <si>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</si>
  <si>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</si>
  <si>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</si>
  <si>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</si>
  <si>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</si>
  <si>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</si>
  <si>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</si>
  <si>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</si>
  <si>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</si>
  <si>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</si>
  <si>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</si>
  <si>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</si>
  <si>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</si>
  <si>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</si>
  <si>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</si>
  <si>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</si>
  <si>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</si>
  <si>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</si>
  <si>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</si>
  <si>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</si>
  <si>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</si>
  <si>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</si>
  <si>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</si>
  <si>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</si>
  <si>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</si>
  <si>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</si>
  <si>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</si>
  <si>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</si>
  <si>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</si>
  <si>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</si>
  <si>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</si>
  <si>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</si>
  <si>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</si>
  <si>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</si>
  <si>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</si>
  <si>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</si>
  <si>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</si>
  <si>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</si>
  <si>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</si>
  <si>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</si>
  <si>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</si>
  <si>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</si>
  <si>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</si>
  <si>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</si>
  <si>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</si>
  <si>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</t>
  </si>
  <si>
    <t>Notes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</si>
  <si>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</si>
  <si>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</si>
  <si>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</si>
  <si>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</si>
  <si>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</si>
  <si>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</si>
  <si>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</si>
  <si>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</si>
  <si>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</si>
  <si>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</si>
  <si>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</si>
  <si>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</si>
  <si>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</si>
  <si>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</si>
  <si>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</si>
  <si>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</si>
  <si>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</si>
  <si>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</si>
  <si>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</si>
  <si>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</si>
  <si>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</si>
  <si>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</si>
  <si>
    <t>Shape</t>
  </si>
  <si>
    <t>Height_above</t>
  </si>
  <si>
    <t>trap_id</t>
  </si>
  <si>
    <t>date_in</t>
  </si>
  <si>
    <t>date_out</t>
  </si>
  <si>
    <t>date_in freezer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</si>
</sst>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164" fontId="0" fillId="2" borderId="0" xfId="0" applyNumberFormat="1" applyFill="1"/>
    <xf numFmtId="22" fontId="0" fillId="2" borderId="0" xfId="0" applyNumberFormat="1" applyFill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2" fillId="3" borderId="0" xfId="0" applyFont="1" applyFill="1"/>
    <xf numFmtId="22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21"/>
  <sheetViews>
    <sheetView tabSelected="1" zoomScaleNormal="100"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3" sqref="A63:XFD63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16.578125" bestFit="1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258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258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258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258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258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258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258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258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 s="41">
        <v>6</v>
      </c>
      <c r="B27" s="41">
        <v>1</v>
      </c>
      <c r="C27" s="42" t="str">
        <f t="shared" si="0"/>
        <v>6_1</v>
      </c>
      <c r="D27" s="41" t="s">
        <v>16</v>
      </c>
      <c r="E27" s="41" t="s">
        <v>20</v>
      </c>
      <c r="F27" s="41">
        <v>54730</v>
      </c>
      <c r="G27" s="41">
        <v>-38.0218725085535</v>
      </c>
      <c r="H27" s="41">
        <v>176.348304238168</v>
      </c>
      <c r="I27" s="41">
        <f t="shared" si="1"/>
        <v>150</v>
      </c>
      <c r="J27" s="41" t="s">
        <v>22</v>
      </c>
      <c r="K27" s="43">
        <v>45775.354166666664</v>
      </c>
      <c r="L27" s="41" t="s">
        <v>30</v>
      </c>
      <c r="M27" s="41">
        <v>5</v>
      </c>
      <c r="N27" s="41">
        <v>0</v>
      </c>
      <c r="O27" s="41">
        <v>0</v>
      </c>
      <c r="P27" s="41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258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258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s="45" customFormat="1" x14ac:dyDescent="0.55000000000000004">
      <c r="A34" s="45">
        <v>13</v>
      </c>
      <c r="B34" s="45">
        <v>1</v>
      </c>
      <c r="C34" s="46" t="str">
        <f t="shared" ref="C34:C65" si="2">A34 &amp; "_"&amp; B34</f>
        <v>13_1</v>
      </c>
      <c r="D34" s="45" t="s">
        <v>16</v>
      </c>
      <c r="E34" s="47" t="s">
        <v>24</v>
      </c>
      <c r="F34" s="45">
        <v>54730</v>
      </c>
      <c r="G34" s="45">
        <v>-38.040194900000003</v>
      </c>
      <c r="H34" s="47">
        <v>176.35867870000001</v>
      </c>
      <c r="I34" s="45">
        <f t="shared" si="1"/>
        <v>150</v>
      </c>
      <c r="J34" s="45" t="s">
        <v>22</v>
      </c>
      <c r="K34" s="48">
        <v>45777.71597222222</v>
      </c>
      <c r="L34" s="45" t="s">
        <v>19</v>
      </c>
      <c r="M34" s="45">
        <v>5</v>
      </c>
      <c r="N34" s="45">
        <v>0</v>
      </c>
      <c r="O34" s="45">
        <v>0</v>
      </c>
      <c r="P34" s="45" t="s">
        <v>32</v>
      </c>
      <c r="Q34" s="49"/>
      <c r="R34" s="49"/>
      <c r="S34" s="50"/>
      <c r="T34" s="50"/>
    </row>
    <row r="35" spans="1:20" s="45" customFormat="1" x14ac:dyDescent="0.55000000000000004">
      <c r="A35" s="45">
        <v>14</v>
      </c>
      <c r="B35" s="45">
        <v>1</v>
      </c>
      <c r="C35" s="46" t="str">
        <f t="shared" si="2"/>
        <v>14_1</v>
      </c>
      <c r="D35" s="45" t="s">
        <v>16</v>
      </c>
      <c r="E35" s="47" t="s">
        <v>24</v>
      </c>
      <c r="F35" s="45">
        <v>54730</v>
      </c>
      <c r="G35" s="45">
        <v>-38.039811399999998</v>
      </c>
      <c r="H35" s="47">
        <v>176.3581623</v>
      </c>
      <c r="I35" s="45">
        <f t="shared" si="1"/>
        <v>150</v>
      </c>
      <c r="J35" s="45" t="s">
        <v>22</v>
      </c>
      <c r="K35" s="48">
        <v>45777.71597222222</v>
      </c>
      <c r="L35" s="45" t="s">
        <v>19</v>
      </c>
      <c r="M35" s="45">
        <v>5</v>
      </c>
      <c r="N35" s="45">
        <v>0</v>
      </c>
      <c r="O35" s="45">
        <v>0</v>
      </c>
      <c r="P35" s="45" t="s">
        <v>32</v>
      </c>
      <c r="Q35" s="49"/>
      <c r="R35" s="49"/>
      <c r="S35" s="50"/>
      <c r="T35" s="50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 s="41">
        <v>1</v>
      </c>
      <c r="B42" s="41">
        <v>2</v>
      </c>
      <c r="C42" s="42" t="str">
        <f t="shared" si="2"/>
        <v>1_2</v>
      </c>
      <c r="D42" s="41" t="s">
        <v>16</v>
      </c>
      <c r="E42" s="41" t="s">
        <v>258</v>
      </c>
      <c r="F42" s="41">
        <v>54730</v>
      </c>
      <c r="G42" s="41">
        <v>-38.052667307926299</v>
      </c>
      <c r="H42" s="41">
        <v>176.47144524762001</v>
      </c>
      <c r="I42" s="41">
        <f>15*10</f>
        <v>150</v>
      </c>
      <c r="J42" s="41" t="s">
        <v>18</v>
      </c>
      <c r="K42" s="43">
        <v>45854.55</v>
      </c>
      <c r="L42" s="41" t="s">
        <v>33</v>
      </c>
      <c r="M42" s="41"/>
      <c r="N42" s="41">
        <v>0</v>
      </c>
      <c r="O42" s="41">
        <v>0</v>
      </c>
      <c r="P42" s="41" t="s">
        <v>34</v>
      </c>
      <c r="Q42" s="17"/>
      <c r="R42" s="17"/>
      <c r="S42" s="18"/>
      <c r="T42" s="18"/>
    </row>
    <row r="43" spans="1:20" x14ac:dyDescent="0.55000000000000004">
      <c r="A43" s="41">
        <v>2</v>
      </c>
      <c r="B43" s="41">
        <v>2</v>
      </c>
      <c r="C43" s="42" t="str">
        <f t="shared" si="2"/>
        <v>2_2</v>
      </c>
      <c r="D43" s="41" t="s">
        <v>16</v>
      </c>
      <c r="E43" s="41" t="s">
        <v>20</v>
      </c>
      <c r="F43" s="41">
        <v>54730</v>
      </c>
      <c r="G43" s="41">
        <v>-38.052913557037101</v>
      </c>
      <c r="H43" s="41">
        <v>176.47093312757499</v>
      </c>
      <c r="I43" s="41">
        <f t="shared" si="1"/>
        <v>150</v>
      </c>
      <c r="J43" s="41" t="s">
        <v>18</v>
      </c>
      <c r="K43" s="43">
        <v>45854.537499999999</v>
      </c>
      <c r="L43" s="41" t="s">
        <v>33</v>
      </c>
      <c r="M43" s="41"/>
      <c r="N43" s="41">
        <v>0</v>
      </c>
      <c r="O43" s="41">
        <v>0</v>
      </c>
      <c r="P43" s="41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258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258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258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258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 s="41">
        <v>19</v>
      </c>
      <c r="B60" s="41">
        <v>2</v>
      </c>
      <c r="C60" s="42" t="str">
        <f t="shared" si="2"/>
        <v>19_2</v>
      </c>
      <c r="D60" s="41" t="s">
        <v>16</v>
      </c>
      <c r="E60" s="44" t="s">
        <v>24</v>
      </c>
      <c r="F60" s="41">
        <v>54730</v>
      </c>
      <c r="G60" s="41">
        <v>-38.016770000000001</v>
      </c>
      <c r="H60" s="44">
        <v>176.42099999999999</v>
      </c>
      <c r="I60" s="41">
        <f t="shared" si="1"/>
        <v>150</v>
      </c>
      <c r="J60" s="41" t="s">
        <v>18</v>
      </c>
      <c r="K60" s="43">
        <v>45869.472222222219</v>
      </c>
      <c r="L60" s="41" t="s">
        <v>19</v>
      </c>
      <c r="M60" s="41">
        <v>4.7</v>
      </c>
      <c r="N60" s="41">
        <v>0</v>
      </c>
      <c r="O60" s="41">
        <v>0</v>
      </c>
      <c r="P60" s="41" t="s">
        <v>38</v>
      </c>
      <c r="Q60" s="17"/>
      <c r="R60" s="17"/>
      <c r="S60" s="18"/>
      <c r="T60" s="18"/>
    </row>
    <row r="61" spans="1:20" x14ac:dyDescent="0.55000000000000004">
      <c r="A61" s="41">
        <v>20</v>
      </c>
      <c r="B61" s="41">
        <v>2</v>
      </c>
      <c r="C61" s="42" t="str">
        <f t="shared" si="2"/>
        <v>20_2</v>
      </c>
      <c r="D61" s="41" t="s">
        <v>16</v>
      </c>
      <c r="E61" s="44" t="s">
        <v>24</v>
      </c>
      <c r="F61" s="41">
        <v>54730</v>
      </c>
      <c r="G61" s="41">
        <v>-38.0170202210521</v>
      </c>
      <c r="H61" s="44">
        <v>176.42048967569099</v>
      </c>
      <c r="I61" s="41">
        <f t="shared" si="1"/>
        <v>150</v>
      </c>
      <c r="J61" s="41" t="s">
        <v>18</v>
      </c>
      <c r="K61" s="43">
        <v>45869.479166666664</v>
      </c>
      <c r="L61" s="41" t="s">
        <v>19</v>
      </c>
      <c r="M61" s="41">
        <v>4.7</v>
      </c>
      <c r="N61" s="41">
        <v>0</v>
      </c>
      <c r="O61" s="41">
        <v>0</v>
      </c>
      <c r="P61" s="41" t="s">
        <v>38</v>
      </c>
      <c r="Q61" s="17"/>
      <c r="R61" s="17"/>
      <c r="S61" s="18"/>
      <c r="T61" s="18"/>
    </row>
    <row r="62" spans="1:20" s="45" customFormat="1" x14ac:dyDescent="0.55000000000000004">
      <c r="A62" s="45">
        <v>1</v>
      </c>
      <c r="B62" s="45">
        <v>3</v>
      </c>
      <c r="C62" s="46" t="str">
        <f t="shared" si="2"/>
        <v>1_3</v>
      </c>
      <c r="D62" s="45" t="s">
        <v>16</v>
      </c>
      <c r="E62" s="45" t="s">
        <v>258</v>
      </c>
      <c r="F62" s="45">
        <v>54730</v>
      </c>
      <c r="G62" s="45">
        <v>-38.052667307926299</v>
      </c>
      <c r="H62" s="45">
        <v>176.47144524762001</v>
      </c>
      <c r="I62" s="45">
        <f>15*10</f>
        <v>150</v>
      </c>
      <c r="J62" s="45" t="s">
        <v>18</v>
      </c>
      <c r="K62" s="48">
        <v>45951.540277777778</v>
      </c>
      <c r="L62" s="45" t="s">
        <v>33</v>
      </c>
      <c r="N62" s="45">
        <v>0</v>
      </c>
      <c r="O62" s="45">
        <v>0</v>
      </c>
      <c r="P62" s="45" t="s">
        <v>39</v>
      </c>
      <c r="Q62" s="49"/>
      <c r="R62" s="49"/>
      <c r="S62" s="50"/>
      <c r="T62" s="50"/>
    </row>
    <row r="63" spans="1:20" s="45" customFormat="1" x14ac:dyDescent="0.55000000000000004">
      <c r="A63" s="45">
        <v>2</v>
      </c>
      <c r="B63" s="45">
        <v>3</v>
      </c>
      <c r="C63" s="46" t="str">
        <f t="shared" si="2"/>
        <v>2_3</v>
      </c>
      <c r="D63" s="45" t="s">
        <v>16</v>
      </c>
      <c r="E63" s="45" t="s">
        <v>20</v>
      </c>
      <c r="F63" s="45">
        <v>54730</v>
      </c>
      <c r="G63" s="45">
        <v>-38.052913557037101</v>
      </c>
      <c r="H63" s="45">
        <v>176.47093312757499</v>
      </c>
      <c r="I63" s="45">
        <f t="shared" si="1"/>
        <v>150</v>
      </c>
      <c r="J63" s="45" t="s">
        <v>18</v>
      </c>
      <c r="K63" s="48">
        <v>45951.554166666669</v>
      </c>
      <c r="L63" s="45" t="s">
        <v>33</v>
      </c>
      <c r="N63" s="45">
        <v>0</v>
      </c>
      <c r="O63" s="45">
        <v>0</v>
      </c>
      <c r="P63" s="45" t="s">
        <v>39</v>
      </c>
      <c r="Q63" s="49"/>
      <c r="R63" s="49"/>
      <c r="S63" s="50"/>
      <c r="T63" s="50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258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258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258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258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258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2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258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258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258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258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258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258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258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 s="41">
        <v>6</v>
      </c>
      <c r="B107" s="41">
        <v>5</v>
      </c>
      <c r="C107" s="42" t="str">
        <f t="shared" si="7"/>
        <v>6_5</v>
      </c>
      <c r="D107" s="41" t="s">
        <v>16</v>
      </c>
      <c r="E107" s="41" t="s">
        <v>20</v>
      </c>
      <c r="F107" s="41">
        <v>54730</v>
      </c>
      <c r="G107" s="41">
        <v>-38.0218725085535</v>
      </c>
      <c r="H107" s="41">
        <v>176.348304238168</v>
      </c>
      <c r="I107" s="41">
        <f t="shared" si="6"/>
        <v>150</v>
      </c>
      <c r="J107" s="41" t="s">
        <v>22</v>
      </c>
      <c r="K107" s="43">
        <v>46134.470138888886</v>
      </c>
      <c r="L107" s="41" t="s">
        <v>19</v>
      </c>
      <c r="M107" s="41"/>
      <c r="N107" s="41">
        <v>0</v>
      </c>
      <c r="O107" s="41">
        <v>0</v>
      </c>
      <c r="P107" s="41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258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258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5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5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5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5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5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5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5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5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5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72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37" sqref="I237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  <c r="F231">
        <v>17.3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  <c r="F232">
        <v>9.8000000000000007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  <c r="F233">
        <v>102.2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  <c r="F234">
        <v>130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  <c r="F235">
        <v>152.30000000000001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  <c r="F236">
        <v>7.76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  <c r="F237">
        <v>17.3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  <c r="F238">
        <v>9.8000000000000007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  <c r="F239">
        <v>102.2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  <c r="F240">
        <v>130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  <c r="F241">
        <v>152.30000000000001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  <c r="F242">
        <v>7.76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361"/>
  <sheetViews>
    <sheetView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G331" sqref="G331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1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361" si="19">VLOOKUP($D354, $K$3:$M$18, 2, FALSE)</f>
        <v>#N/A</v>
      </c>
      <c r="F354" t="e">
        <f t="shared" ref="F354:F361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</sheetData>
  <dataValidations count="2">
    <dataValidation type="list" allowBlank="1" showInputMessage="1" showErrorMessage="1" sqref="D22 D2:D14 D16 D19 D385:D421 D82 D85:D134 D142 D136 D139 D145:D194 D202 D196 D199 D205:D254 D262 D256 D259 D379 D25:D74 D76:D79 D325:D374 M76:M78 D382 D376 D265:D314 D322 D316 D31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75 D377:D378 D380:D381 D383:D384 D315 D323:D324 D320:D321 D317:D31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K25" sqref="K25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259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260</v>
      </c>
      <c r="E2" t="s">
        <v>129</v>
      </c>
      <c r="F2" t="s">
        <v>130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131</v>
      </c>
      <c r="E3" t="s">
        <v>132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133</v>
      </c>
      <c r="E4" t="s">
        <v>132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134</v>
      </c>
      <c r="E5" t="s">
        <v>132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135</v>
      </c>
      <c r="E6" t="s">
        <v>136</v>
      </c>
      <c r="F6">
        <f>F4*F5/1000000</f>
        <v>5.5</v>
      </c>
      <c r="G6" t="s">
        <v>137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138</v>
      </c>
      <c r="E7" t="s">
        <v>139</v>
      </c>
      <c r="F7">
        <f>Building_Stone_pile!$B$16/3</f>
        <v>1013.3333333333334</v>
      </c>
      <c r="G7" t="s">
        <v>137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140</v>
      </c>
      <c r="E8" t="s">
        <v>132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141</v>
      </c>
      <c r="E9" t="s">
        <v>132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261</v>
      </c>
      <c r="E10" t="s">
        <v>132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142</v>
      </c>
      <c r="E11" t="s">
        <v>132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143</v>
      </c>
      <c r="E12" t="s">
        <v>144</v>
      </c>
      <c r="F12">
        <f>0.5*F4*F5*((F8+F9+(F11-F10))/3)/1000000000</f>
        <v>1.1733333333333336</v>
      </c>
      <c r="G12" t="s">
        <v>137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145</v>
      </c>
      <c r="E13" t="s">
        <v>132</v>
      </c>
      <c r="F13">
        <f>AVERAGE(300,295,285,300)</f>
        <v>295</v>
      </c>
      <c r="G13" t="s">
        <v>146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147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260</v>
      </c>
      <c r="E15" t="s">
        <v>129</v>
      </c>
      <c r="F15" t="s">
        <v>130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131</v>
      </c>
      <c r="E16" t="s">
        <v>132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133</v>
      </c>
      <c r="E17" t="s">
        <v>132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134</v>
      </c>
      <c r="E18" t="s">
        <v>132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135</v>
      </c>
      <c r="E19" t="s">
        <v>136</v>
      </c>
      <c r="F19">
        <f>F17*F18/1000000</f>
        <v>5.28</v>
      </c>
      <c r="G19" t="s">
        <v>137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138</v>
      </c>
      <c r="E20" t="s">
        <v>139</v>
      </c>
      <c r="F20">
        <f>Building_Stone_pile!$B$16/3</f>
        <v>1013.3333333333334</v>
      </c>
      <c r="G20" t="s">
        <v>137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140</v>
      </c>
      <c r="E21" t="s">
        <v>132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141</v>
      </c>
      <c r="E22" t="s">
        <v>132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261</v>
      </c>
      <c r="E23" t="s">
        <v>132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142</v>
      </c>
      <c r="E24" t="s">
        <v>132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143</v>
      </c>
      <c r="E25" t="s">
        <v>144</v>
      </c>
      <c r="F25">
        <f>0.5*F17*F18*((F21+F22+(F24-F23))/3)/1000000000</f>
        <v>1.2056</v>
      </c>
      <c r="G25" t="s">
        <v>137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145</v>
      </c>
      <c r="E26" t="s">
        <v>132</v>
      </c>
      <c r="F26">
        <f>AVERAGE(320,285,280,298)</f>
        <v>295.75</v>
      </c>
      <c r="G26" t="s">
        <v>148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147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260</v>
      </c>
      <c r="E28" t="s">
        <v>129</v>
      </c>
      <c r="F28" t="s">
        <v>130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131</v>
      </c>
      <c r="E29" t="s">
        <v>132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133</v>
      </c>
      <c r="E30" t="s">
        <v>132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134</v>
      </c>
      <c r="E31" t="s">
        <v>132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135</v>
      </c>
      <c r="E32" t="s">
        <v>136</v>
      </c>
      <c r="F32">
        <f>F30*F31/1000000</f>
        <v>6</v>
      </c>
      <c r="G32" t="s">
        <v>137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138</v>
      </c>
      <c r="E33" t="s">
        <v>139</v>
      </c>
      <c r="F33">
        <f>Building_Stone_pile!$B$16/3</f>
        <v>1013.3333333333334</v>
      </c>
      <c r="G33" t="s">
        <v>137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140</v>
      </c>
      <c r="E34" t="s">
        <v>132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141</v>
      </c>
      <c r="E35" t="s">
        <v>132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261</v>
      </c>
      <c r="E36" t="s">
        <v>132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142</v>
      </c>
      <c r="E37" t="s">
        <v>132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143</v>
      </c>
      <c r="E38" t="s">
        <v>144</v>
      </c>
      <c r="F38">
        <f>0.5*F30*F31*((F34+F35+(F37-F36))/3)/1000000000</f>
        <v>1.46</v>
      </c>
      <c r="G38" t="s">
        <v>137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145</v>
      </c>
      <c r="E39" t="s">
        <v>132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147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260</v>
      </c>
      <c r="E41" t="s">
        <v>129</v>
      </c>
      <c r="F41" t="s">
        <v>130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131</v>
      </c>
      <c r="E42" t="s">
        <v>132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133</v>
      </c>
      <c r="E43" t="s">
        <v>132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134</v>
      </c>
      <c r="E44" t="s">
        <v>132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135</v>
      </c>
      <c r="E45" t="s">
        <v>136</v>
      </c>
      <c r="F45">
        <f>F43*F44/1000000</f>
        <v>4.18</v>
      </c>
      <c r="G45" t="s">
        <v>137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138</v>
      </c>
      <c r="E46" t="s">
        <v>139</v>
      </c>
      <c r="F46">
        <f>Building_Stone_pile!$B$17/3</f>
        <v>660</v>
      </c>
      <c r="G46" t="s">
        <v>137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140</v>
      </c>
      <c r="E47" t="s">
        <v>132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141</v>
      </c>
      <c r="E48" t="s">
        <v>132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261</v>
      </c>
      <c r="E49" t="s">
        <v>132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142</v>
      </c>
      <c r="E50" t="s">
        <v>132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143</v>
      </c>
      <c r="E51" t="s">
        <v>144</v>
      </c>
      <c r="F51">
        <f>0.5*F43*F44*((F47+F48+(F50-F49))/3)/1000000000</f>
        <v>0.68621666666666659</v>
      </c>
      <c r="G51" t="s">
        <v>137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145</v>
      </c>
      <c r="E52" t="s">
        <v>132</v>
      </c>
      <c r="F52">
        <f>AVERAGE(360,360,365,355)</f>
        <v>360</v>
      </c>
      <c r="G52" t="s">
        <v>149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147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260</v>
      </c>
      <c r="E54" t="s">
        <v>129</v>
      </c>
      <c r="F54" t="s">
        <v>130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131</v>
      </c>
      <c r="E55" t="s">
        <v>132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133</v>
      </c>
      <c r="E56" t="s">
        <v>132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134</v>
      </c>
      <c r="E57" t="s">
        <v>132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135</v>
      </c>
      <c r="E58" t="s">
        <v>136</v>
      </c>
      <c r="F58">
        <f>F56*F57/1000000</f>
        <v>2.4</v>
      </c>
      <c r="G58" t="s">
        <v>137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138</v>
      </c>
      <c r="E59" t="s">
        <v>139</v>
      </c>
      <c r="F59">
        <f>Building_Stone_pile!$B$17/3</f>
        <v>660</v>
      </c>
      <c r="G59" t="s">
        <v>137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140</v>
      </c>
      <c r="E60" t="s">
        <v>132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141</v>
      </c>
      <c r="E61" t="s">
        <v>132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261</v>
      </c>
      <c r="E62" t="s">
        <v>132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142</v>
      </c>
      <c r="E63" t="s">
        <v>132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143</v>
      </c>
      <c r="E64" t="s">
        <v>144</v>
      </c>
      <c r="F64">
        <f>0.5*F56*F57*((F60+F61+(F63-F62))/3)/1000000000</f>
        <v>0.41599999999999998</v>
      </c>
      <c r="G64" t="s">
        <v>137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145</v>
      </c>
      <c r="E65" t="s">
        <v>132</v>
      </c>
      <c r="F65">
        <f>AVERAGE(340,350,342,340)</f>
        <v>343</v>
      </c>
      <c r="G65" t="s">
        <v>148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147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260</v>
      </c>
      <c r="E67" t="s">
        <v>129</v>
      </c>
      <c r="F67" t="s">
        <v>130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131</v>
      </c>
      <c r="E68" t="s">
        <v>132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133</v>
      </c>
      <c r="E69" t="s">
        <v>132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134</v>
      </c>
      <c r="E70" t="s">
        <v>132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135</v>
      </c>
      <c r="E71" t="s">
        <v>136</v>
      </c>
      <c r="F71">
        <f>F69*F70/1000000</f>
        <v>3.8</v>
      </c>
      <c r="G71" t="s">
        <v>137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138</v>
      </c>
      <c r="E72" t="s">
        <v>139</v>
      </c>
      <c r="F72">
        <f>Building_Stone_pile!$B$17/3</f>
        <v>660</v>
      </c>
      <c r="G72" t="s">
        <v>137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140</v>
      </c>
      <c r="E73" t="s">
        <v>132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141</v>
      </c>
      <c r="E74" t="s">
        <v>132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261</v>
      </c>
      <c r="E75" t="s">
        <v>132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142</v>
      </c>
      <c r="E76" t="s">
        <v>132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143</v>
      </c>
      <c r="E77" t="s">
        <v>144</v>
      </c>
      <c r="F77">
        <f>0.5*F69*F70*((F73+F74+(F76-F75))/3)/1000000000</f>
        <v>0.61116666666666675</v>
      </c>
      <c r="G77" t="s">
        <v>137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145</v>
      </c>
      <c r="E78" t="s">
        <v>132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147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260</v>
      </c>
      <c r="E80" t="s">
        <v>129</v>
      </c>
      <c r="F80" t="s">
        <v>130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131</v>
      </c>
      <c r="E81" t="s">
        <v>132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133</v>
      </c>
      <c r="E82" t="s">
        <v>132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134</v>
      </c>
      <c r="E83" t="s">
        <v>132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135</v>
      </c>
      <c r="E84" t="s">
        <v>136</v>
      </c>
      <c r="F84">
        <f>F82*F83/1000000</f>
        <v>3.91</v>
      </c>
      <c r="G84" t="s">
        <v>137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138</v>
      </c>
      <c r="E85" t="s">
        <v>139</v>
      </c>
      <c r="F85">
        <f>Building_Stone_pile!$B$18/3</f>
        <v>1233.3333333333333</v>
      </c>
      <c r="G85" t="s">
        <v>137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140</v>
      </c>
      <c r="E86" t="s">
        <v>132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141</v>
      </c>
      <c r="E87" t="s">
        <v>132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261</v>
      </c>
      <c r="E88" t="s">
        <v>132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142</v>
      </c>
      <c r="E89" t="s">
        <v>132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143</v>
      </c>
      <c r="E90" t="s">
        <v>144</v>
      </c>
      <c r="F90">
        <f>0.5*F82*F83*((F86+F87+(F89-F88))/3)/1000000000</f>
        <v>0.7591916666666666</v>
      </c>
      <c r="G90" t="s">
        <v>137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145</v>
      </c>
      <c r="E91" t="s">
        <v>132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147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260</v>
      </c>
      <c r="E93" t="s">
        <v>129</v>
      </c>
      <c r="F93" t="s">
        <v>130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131</v>
      </c>
      <c r="E94" t="s">
        <v>132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133</v>
      </c>
      <c r="E95" t="s">
        <v>132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134</v>
      </c>
      <c r="E96" t="s">
        <v>132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135</v>
      </c>
      <c r="E97" t="s">
        <v>136</v>
      </c>
      <c r="F97">
        <f>F95*F96/1000000</f>
        <v>4.37</v>
      </c>
      <c r="G97" t="s">
        <v>137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138</v>
      </c>
      <c r="E98" t="s">
        <v>139</v>
      </c>
      <c r="F98">
        <f>Building_Stone_pile!$B$18/3</f>
        <v>1233.3333333333333</v>
      </c>
      <c r="G98" t="s">
        <v>137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140</v>
      </c>
      <c r="E99" t="s">
        <v>132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141</v>
      </c>
      <c r="E100" t="s">
        <v>132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261</v>
      </c>
      <c r="E101" t="s">
        <v>132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142</v>
      </c>
      <c r="E102" t="s">
        <v>132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143</v>
      </c>
      <c r="E103" t="s">
        <v>144</v>
      </c>
      <c r="F103">
        <f>0.5*F95*F96*((F99+F100+(F102-F101))/3)/1000000000</f>
        <v>0.92134166666666673</v>
      </c>
      <c r="G103" t="s">
        <v>137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145</v>
      </c>
      <c r="E104" t="s">
        <v>132</v>
      </c>
      <c r="F104">
        <f>AVERAGE(335,325,320,390)</f>
        <v>342.5</v>
      </c>
      <c r="G104" t="s">
        <v>148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147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260</v>
      </c>
      <c r="E106" t="s">
        <v>129</v>
      </c>
      <c r="F106" t="s">
        <v>130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131</v>
      </c>
      <c r="E107" t="s">
        <v>132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133</v>
      </c>
      <c r="E108" t="s">
        <v>132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134</v>
      </c>
      <c r="E109" t="s">
        <v>132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135</v>
      </c>
      <c r="E110" t="s">
        <v>136</v>
      </c>
      <c r="F110">
        <f>F108*F109/1000000</f>
        <v>4.1399999999999997</v>
      </c>
      <c r="G110" t="s">
        <v>137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138</v>
      </c>
      <c r="E111" t="s">
        <v>139</v>
      </c>
      <c r="F111">
        <f>Building_Stone_pile!$B$18/3</f>
        <v>1233.3333333333333</v>
      </c>
      <c r="G111" t="s">
        <v>137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140</v>
      </c>
      <c r="E112" t="s">
        <v>132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141</v>
      </c>
      <c r="E113" t="s">
        <v>132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261</v>
      </c>
      <c r="E114" t="s">
        <v>132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142</v>
      </c>
      <c r="E115" t="s">
        <v>132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143</v>
      </c>
      <c r="E116" t="s">
        <v>144</v>
      </c>
      <c r="F116">
        <f>0.5*F108*F109*((F112+F113+(F115-F114))/3)/1000000000</f>
        <v>0.86939999999999995</v>
      </c>
      <c r="G116" t="s">
        <v>137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145</v>
      </c>
      <c r="E117" t="s">
        <v>132</v>
      </c>
      <c r="F117">
        <f>AVERAGE(360,341,341,345)</f>
        <v>346.75</v>
      </c>
      <c r="G117" t="s">
        <v>146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147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260</v>
      </c>
      <c r="E119" t="s">
        <v>129</v>
      </c>
      <c r="F119" t="s">
        <v>130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131</v>
      </c>
      <c r="E120" t="s">
        <v>132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133</v>
      </c>
      <c r="E121" t="s">
        <v>132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134</v>
      </c>
      <c r="E122" t="s">
        <v>132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135</v>
      </c>
      <c r="E123" t="s">
        <v>136</v>
      </c>
      <c r="F123">
        <f>F121*F122/1000000</f>
        <v>2.5499999999999998</v>
      </c>
      <c r="G123" t="s">
        <v>137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138</v>
      </c>
      <c r="E124" t="s">
        <v>139</v>
      </c>
      <c r="F124">
        <f>Building_Stone_pile!$B$19/3</f>
        <v>640</v>
      </c>
      <c r="G124" t="s">
        <v>137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140</v>
      </c>
      <c r="E125" t="s">
        <v>132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141</v>
      </c>
      <c r="E126" t="s">
        <v>132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261</v>
      </c>
      <c r="E127" t="s">
        <v>132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142</v>
      </c>
      <c r="E128" t="s">
        <v>132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143</v>
      </c>
      <c r="E129" t="s">
        <v>144</v>
      </c>
      <c r="F129">
        <f>0.5*F121*F122*((F125+F126+(F128-F127))/3)/1000000000</f>
        <v>0.53549999999999998</v>
      </c>
      <c r="G129" t="s">
        <v>137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145</v>
      </c>
      <c r="E130" t="s">
        <v>132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147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260</v>
      </c>
      <c r="E132" t="s">
        <v>129</v>
      </c>
      <c r="F132" t="s">
        <v>130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131</v>
      </c>
      <c r="E133" t="s">
        <v>132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133</v>
      </c>
      <c r="E134" t="s">
        <v>132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134</v>
      </c>
      <c r="E135" t="s">
        <v>132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135</v>
      </c>
      <c r="E136" t="s">
        <v>136</v>
      </c>
      <c r="F136">
        <f>F134*F135/1000000</f>
        <v>3.4</v>
      </c>
      <c r="G136" t="s">
        <v>137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138</v>
      </c>
      <c r="E137" t="s">
        <v>139</v>
      </c>
      <c r="F137">
        <f>Building_Stone_pile!$B$19/3</f>
        <v>640</v>
      </c>
      <c r="G137" t="s">
        <v>137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140</v>
      </c>
      <c r="E138" t="s">
        <v>132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141</v>
      </c>
      <c r="E139" t="s">
        <v>132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261</v>
      </c>
      <c r="E140" t="s">
        <v>132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142</v>
      </c>
      <c r="E141" t="s">
        <v>132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143</v>
      </c>
      <c r="E142" t="s">
        <v>144</v>
      </c>
      <c r="F142">
        <f>0.5*F134*F135*((F138+F139+(F141-F140))/3)/1000000000</f>
        <v>0.64033333333333342</v>
      </c>
      <c r="G142" t="s">
        <v>137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145</v>
      </c>
      <c r="E143" t="s">
        <v>132</v>
      </c>
      <c r="F143">
        <f>AVERAGE(390,410,410,395)</f>
        <v>401.25</v>
      </c>
      <c r="G143" t="s">
        <v>146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147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260</v>
      </c>
      <c r="E145" t="s">
        <v>129</v>
      </c>
      <c r="F145" t="s">
        <v>130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131</v>
      </c>
      <c r="E146" t="s">
        <v>132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133</v>
      </c>
      <c r="E147" t="s">
        <v>132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134</v>
      </c>
      <c r="E148" t="s">
        <v>132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135</v>
      </c>
      <c r="E149" t="s">
        <v>136</v>
      </c>
      <c r="F149">
        <f>F147*F148/1000000</f>
        <v>3.6</v>
      </c>
      <c r="G149" t="s">
        <v>137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138</v>
      </c>
      <c r="E150" t="s">
        <v>139</v>
      </c>
      <c r="F150">
        <f>Building_Stone_pile!$B$19/3</f>
        <v>640</v>
      </c>
      <c r="G150" t="s">
        <v>137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140</v>
      </c>
      <c r="E151" t="s">
        <v>132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141</v>
      </c>
      <c r="E152" t="s">
        <v>132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261</v>
      </c>
      <c r="E153" t="s">
        <v>132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142</v>
      </c>
      <c r="E154" t="s">
        <v>132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143</v>
      </c>
      <c r="E155" t="s">
        <v>144</v>
      </c>
      <c r="F155">
        <f>0.5*F147*F148*((F151+F152+(F154-F153))/3)/1000000000</f>
        <v>0.73799999999999999</v>
      </c>
      <c r="G155" t="s">
        <v>137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145</v>
      </c>
      <c r="E156" t="s">
        <v>132</v>
      </c>
      <c r="F156">
        <f>AVERAGE(380,380,355,358)</f>
        <v>368.25</v>
      </c>
      <c r="G156" t="s">
        <v>148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147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260</v>
      </c>
      <c r="E158" t="s">
        <v>129</v>
      </c>
      <c r="F158" t="s">
        <v>130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131</v>
      </c>
      <c r="E159" t="s">
        <v>132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133</v>
      </c>
      <c r="E160" t="s">
        <v>132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134</v>
      </c>
      <c r="E161" t="s">
        <v>132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135</v>
      </c>
      <c r="E162" t="s">
        <v>136</v>
      </c>
      <c r="F162">
        <f>F160*F161/1000000</f>
        <v>3.6</v>
      </c>
      <c r="G162" t="s">
        <v>137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138</v>
      </c>
      <c r="E163" t="s">
        <v>139</v>
      </c>
      <c r="F163">
        <f>Building_Stone_pile!$B$20/3</f>
        <v>1003.3333333333334</v>
      </c>
      <c r="G163" t="s">
        <v>137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140</v>
      </c>
      <c r="E164" t="s">
        <v>132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141</v>
      </c>
      <c r="E165" t="s">
        <v>132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261</v>
      </c>
      <c r="E166" t="s">
        <v>132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142</v>
      </c>
      <c r="E167" t="s">
        <v>132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143</v>
      </c>
      <c r="E168" t="s">
        <v>144</v>
      </c>
      <c r="F168">
        <f>0.5*F160*F161*((F164+F165+(F167-F166))/3)/1000000000</f>
        <v>1.008</v>
      </c>
      <c r="G168" t="s">
        <v>137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145</v>
      </c>
      <c r="E169" t="s">
        <v>132</v>
      </c>
      <c r="F169">
        <f>AVERAGE(413,410,393,405)</f>
        <v>405.25</v>
      </c>
      <c r="G169" t="s">
        <v>148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147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260</v>
      </c>
      <c r="E171" t="s">
        <v>129</v>
      </c>
      <c r="F171" t="s">
        <v>130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131</v>
      </c>
      <c r="E172" t="s">
        <v>132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133</v>
      </c>
      <c r="E173" t="s">
        <v>132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134</v>
      </c>
      <c r="E174" t="s">
        <v>132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135</v>
      </c>
      <c r="E175" t="s">
        <v>136</v>
      </c>
      <c r="F175">
        <f>F173*F174/1000000</f>
        <v>5.25</v>
      </c>
      <c r="G175" t="s">
        <v>137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138</v>
      </c>
      <c r="E176" t="s">
        <v>139</v>
      </c>
      <c r="F176">
        <f>Building_Stone_pile!$B$20/3</f>
        <v>1003.3333333333334</v>
      </c>
      <c r="G176" t="s">
        <v>137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140</v>
      </c>
      <c r="E177" t="s">
        <v>132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141</v>
      </c>
      <c r="E178" t="s">
        <v>132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261</v>
      </c>
      <c r="E179" t="s">
        <v>132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142</v>
      </c>
      <c r="E180" t="s">
        <v>132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143</v>
      </c>
      <c r="E181" t="s">
        <v>144</v>
      </c>
      <c r="F181">
        <f>0.5*F173*F174*((F177+F178+(F180-F179))/3)/1000000000</f>
        <v>1.63625</v>
      </c>
      <c r="G181" t="s">
        <v>137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145</v>
      </c>
      <c r="E182" t="s">
        <v>132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147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260</v>
      </c>
      <c r="E184" t="s">
        <v>129</v>
      </c>
      <c r="F184" t="s">
        <v>130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131</v>
      </c>
      <c r="E185" t="s">
        <v>132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133</v>
      </c>
      <c r="E186" t="s">
        <v>132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134</v>
      </c>
      <c r="E187" t="s">
        <v>132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135</v>
      </c>
      <c r="E188" t="s">
        <v>136</v>
      </c>
      <c r="F188">
        <f>F186*F187/1000000</f>
        <v>3.52</v>
      </c>
      <c r="G188" t="s">
        <v>137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138</v>
      </c>
      <c r="E189" t="s">
        <v>139</v>
      </c>
      <c r="F189">
        <f>Building_Stone_pile!$B$20/3</f>
        <v>1003.3333333333334</v>
      </c>
      <c r="G189" t="s">
        <v>137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140</v>
      </c>
      <c r="E190" t="s">
        <v>132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141</v>
      </c>
      <c r="E191" t="s">
        <v>132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261</v>
      </c>
      <c r="E192" t="s">
        <v>132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142</v>
      </c>
      <c r="E193" t="s">
        <v>132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143</v>
      </c>
      <c r="E194" t="s">
        <v>144</v>
      </c>
      <c r="F194">
        <f>0.5*F186*F187*((F190+F191+(F193-F192))/3)/1000000000</f>
        <v>1.1264000000000001</v>
      </c>
      <c r="G194" t="s">
        <v>137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145</v>
      </c>
      <c r="E195" t="s">
        <v>132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147</v>
      </c>
      <c r="E196" t="s">
        <v>52</v>
      </c>
      <c r="F196">
        <v>0</v>
      </c>
    </row>
  </sheetData>
  <autoFilter ref="A1:G196" xr:uid="{487300F8-E702-4648-B567-9C75361F3407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dimension ref="A1:AB2805"/>
  <sheetViews>
    <sheetView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U1" sqref="A1:U1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150</v>
      </c>
      <c r="D1" s="1" t="s">
        <v>151</v>
      </c>
      <c r="E1" s="1" t="s">
        <v>152</v>
      </c>
      <c r="F1" s="1" t="s">
        <v>89</v>
      </c>
      <c r="G1" s="1" t="s">
        <v>90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15</v>
      </c>
      <c r="W1" s="21"/>
      <c r="X1" s="22"/>
      <c r="Y1" s="22"/>
      <c r="Z1" s="20"/>
      <c r="AA1" s="22"/>
      <c r="AB1" s="23"/>
    </row>
    <row r="2" spans="1:28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166</v>
      </c>
      <c r="E2">
        <v>2</v>
      </c>
      <c r="F2" t="s">
        <v>167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168</v>
      </c>
      <c r="X2" t="s">
        <v>169</v>
      </c>
      <c r="Y2" t="s">
        <v>170</v>
      </c>
      <c r="Z2" t="s">
        <v>168</v>
      </c>
      <c r="AA2" t="s">
        <v>97</v>
      </c>
      <c r="AB2" s="25" t="s">
        <v>171</v>
      </c>
    </row>
    <row r="3" spans="1:28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172</v>
      </c>
      <c r="E3">
        <v>2</v>
      </c>
      <c r="F3" t="s">
        <v>173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174</v>
      </c>
      <c r="X3" t="s">
        <v>175</v>
      </c>
      <c r="Y3" t="s">
        <v>174</v>
      </c>
      <c r="Z3" t="s">
        <v>174</v>
      </c>
      <c r="AA3" t="s">
        <v>176</v>
      </c>
      <c r="AB3" s="25" t="s">
        <v>177</v>
      </c>
    </row>
    <row r="4" spans="1:28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172</v>
      </c>
      <c r="E4">
        <v>2</v>
      </c>
      <c r="F4" t="s">
        <v>178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178</v>
      </c>
      <c r="X4" t="s">
        <v>179</v>
      </c>
      <c r="Y4" t="s">
        <v>178</v>
      </c>
      <c r="Z4" t="s">
        <v>180</v>
      </c>
      <c r="AA4" t="s">
        <v>176</v>
      </c>
      <c r="AB4" s="25" t="s">
        <v>177</v>
      </c>
    </row>
    <row r="5" spans="1:28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172</v>
      </c>
      <c r="E5">
        <v>2</v>
      </c>
      <c r="F5" t="s">
        <v>181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182</v>
      </c>
      <c r="X5" t="s">
        <v>183</v>
      </c>
      <c r="Y5" t="s">
        <v>184</v>
      </c>
      <c r="Z5" t="s">
        <v>182</v>
      </c>
      <c r="AA5" t="s">
        <v>97</v>
      </c>
      <c r="AB5" s="25" t="s">
        <v>171</v>
      </c>
    </row>
    <row r="6" spans="1:28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172</v>
      </c>
      <c r="E6">
        <v>2</v>
      </c>
      <c r="F6" t="s">
        <v>167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185</v>
      </c>
      <c r="X6" t="s">
        <v>186</v>
      </c>
      <c r="Y6" t="s">
        <v>187</v>
      </c>
      <c r="Z6" t="s">
        <v>187</v>
      </c>
      <c r="AA6" t="s">
        <v>176</v>
      </c>
      <c r="AB6" s="25" t="s">
        <v>177</v>
      </c>
    </row>
    <row r="7" spans="1:28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172</v>
      </c>
      <c r="E7">
        <v>2</v>
      </c>
      <c r="F7" t="s">
        <v>167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181</v>
      </c>
      <c r="X7" t="s">
        <v>188</v>
      </c>
      <c r="Y7" t="s">
        <v>181</v>
      </c>
      <c r="Z7" t="s">
        <v>181</v>
      </c>
      <c r="AA7" t="s">
        <v>97</v>
      </c>
      <c r="AB7" s="25" t="s">
        <v>177</v>
      </c>
    </row>
    <row r="8" spans="1:28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172</v>
      </c>
      <c r="E8">
        <v>2</v>
      </c>
      <c r="F8" t="s">
        <v>167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167</v>
      </c>
      <c r="X8" t="s">
        <v>189</v>
      </c>
      <c r="Y8" t="s">
        <v>190</v>
      </c>
      <c r="Z8" t="s">
        <v>191</v>
      </c>
      <c r="AA8" t="s">
        <v>97</v>
      </c>
      <c r="AB8" s="25" t="s">
        <v>177</v>
      </c>
    </row>
    <row r="9" spans="1:28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172</v>
      </c>
      <c r="E9">
        <v>2</v>
      </c>
      <c r="F9" t="s">
        <v>167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192</v>
      </c>
      <c r="X9" t="s">
        <v>193</v>
      </c>
      <c r="Y9" t="s">
        <v>194</v>
      </c>
      <c r="Z9" t="s">
        <v>192</v>
      </c>
      <c r="AA9" t="s">
        <v>176</v>
      </c>
      <c r="AB9" s="25" t="s">
        <v>177</v>
      </c>
    </row>
    <row r="10" spans="1:28" ht="14.7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172</v>
      </c>
      <c r="E10">
        <v>2</v>
      </c>
      <c r="F10" t="s">
        <v>178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173</v>
      </c>
      <c r="X10" s="28" t="s">
        <v>195</v>
      </c>
      <c r="Y10" s="28" t="s">
        <v>196</v>
      </c>
      <c r="Z10" s="28" t="s">
        <v>197</v>
      </c>
      <c r="AA10" s="28" t="s">
        <v>97</v>
      </c>
      <c r="AB10" s="29" t="s">
        <v>171</v>
      </c>
    </row>
    <row r="11" spans="1:28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172</v>
      </c>
      <c r="E11">
        <v>2</v>
      </c>
      <c r="F11" t="s">
        <v>182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172</v>
      </c>
      <c r="E12">
        <v>2</v>
      </c>
      <c r="F12" t="s">
        <v>182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172</v>
      </c>
      <c r="E13">
        <v>2</v>
      </c>
      <c r="F13" t="s">
        <v>182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172</v>
      </c>
      <c r="E14">
        <v>2</v>
      </c>
      <c r="F14" t="s">
        <v>168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198</v>
      </c>
      <c r="N14">
        <v>21.7</v>
      </c>
      <c r="O14">
        <v>5</v>
      </c>
      <c r="T14" t="str">
        <f t="shared" si="6"/>
        <v/>
      </c>
    </row>
    <row r="15" spans="1:28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172</v>
      </c>
      <c r="E15">
        <v>2</v>
      </c>
      <c r="F15" t="s">
        <v>167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172</v>
      </c>
      <c r="E16">
        <v>2</v>
      </c>
      <c r="F16" t="s">
        <v>168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199</v>
      </c>
      <c r="N16">
        <v>40</v>
      </c>
      <c r="O16">
        <v>44</v>
      </c>
      <c r="T16" t="str">
        <f t="shared" si="6"/>
        <v/>
      </c>
    </row>
    <row r="17" spans="1:20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172</v>
      </c>
      <c r="E17">
        <v>2</v>
      </c>
      <c r="F17" t="s">
        <v>178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172</v>
      </c>
      <c r="E18">
        <v>2</v>
      </c>
      <c r="F18" t="s">
        <v>178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172</v>
      </c>
      <c r="E19">
        <v>2</v>
      </c>
      <c r="F19" t="s">
        <v>178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172</v>
      </c>
      <c r="E20">
        <v>2</v>
      </c>
      <c r="F20" t="s">
        <v>178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172</v>
      </c>
      <c r="E21">
        <v>2</v>
      </c>
      <c r="F21" t="s">
        <v>182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172</v>
      </c>
      <c r="E22">
        <v>2</v>
      </c>
      <c r="F22" t="s">
        <v>167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172</v>
      </c>
      <c r="E23">
        <v>2</v>
      </c>
      <c r="F23" t="s">
        <v>167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172</v>
      </c>
      <c r="E24">
        <v>2</v>
      </c>
      <c r="F24" t="s">
        <v>167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166</v>
      </c>
      <c r="E25">
        <v>2</v>
      </c>
      <c r="F25" t="s">
        <v>167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172</v>
      </c>
      <c r="E26">
        <v>2</v>
      </c>
      <c r="F26" t="s">
        <v>178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172</v>
      </c>
      <c r="E27">
        <v>2</v>
      </c>
      <c r="F27" t="s">
        <v>168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198</v>
      </c>
      <c r="N27">
        <v>32.479999999999997</v>
      </c>
      <c r="O27">
        <v>28</v>
      </c>
      <c r="T27" t="str">
        <f t="shared" si="6"/>
        <v/>
      </c>
    </row>
    <row r="28" spans="1:20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172</v>
      </c>
      <c r="E28">
        <v>2</v>
      </c>
      <c r="F28" t="s">
        <v>182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172</v>
      </c>
      <c r="E29">
        <v>2</v>
      </c>
      <c r="F29" t="s">
        <v>182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172</v>
      </c>
      <c r="E30">
        <v>2</v>
      </c>
      <c r="F30" t="s">
        <v>178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172</v>
      </c>
      <c r="E31">
        <v>2</v>
      </c>
      <c r="F31" t="s">
        <v>182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172</v>
      </c>
      <c r="E32">
        <v>2</v>
      </c>
      <c r="F32" t="s">
        <v>178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172</v>
      </c>
      <c r="E33">
        <v>2</v>
      </c>
      <c r="F33" t="s">
        <v>181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172</v>
      </c>
      <c r="E34">
        <v>2</v>
      </c>
      <c r="F34" t="s">
        <v>182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172</v>
      </c>
      <c r="E35">
        <v>2</v>
      </c>
      <c r="F35" t="s">
        <v>182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172</v>
      </c>
      <c r="E36">
        <v>2</v>
      </c>
      <c r="F36" t="s">
        <v>167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172</v>
      </c>
      <c r="E37">
        <v>2</v>
      </c>
      <c r="F37" t="s">
        <v>182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172</v>
      </c>
      <c r="E38">
        <v>2</v>
      </c>
      <c r="F38" t="s">
        <v>167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172</v>
      </c>
      <c r="E39">
        <v>2</v>
      </c>
      <c r="F39" t="s">
        <v>167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172</v>
      </c>
      <c r="E40">
        <v>2</v>
      </c>
      <c r="F40" t="s">
        <v>167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172</v>
      </c>
      <c r="E41">
        <v>2</v>
      </c>
      <c r="F41" t="s">
        <v>168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199</v>
      </c>
      <c r="N41">
        <v>12.13</v>
      </c>
      <c r="O41">
        <v>1</v>
      </c>
      <c r="T41" t="str">
        <f t="shared" si="6"/>
        <v/>
      </c>
    </row>
    <row r="42" spans="1:2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172</v>
      </c>
      <c r="E42">
        <v>2</v>
      </c>
      <c r="F42" t="s">
        <v>182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172</v>
      </c>
      <c r="E43">
        <v>2</v>
      </c>
      <c r="F43" t="s">
        <v>167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166</v>
      </c>
      <c r="E44">
        <v>2</v>
      </c>
      <c r="F44" t="s">
        <v>167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172</v>
      </c>
      <c r="E45">
        <v>2</v>
      </c>
      <c r="F45" t="s">
        <v>167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200</v>
      </c>
    </row>
    <row r="46" spans="1:2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172</v>
      </c>
      <c r="E46">
        <v>2</v>
      </c>
      <c r="F46" t="s">
        <v>167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200</v>
      </c>
    </row>
    <row r="47" spans="1:2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166</v>
      </c>
      <c r="E47">
        <v>2</v>
      </c>
      <c r="F47" t="s">
        <v>167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172</v>
      </c>
      <c r="E48">
        <v>2</v>
      </c>
      <c r="F48" t="s">
        <v>178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172</v>
      </c>
      <c r="E49">
        <v>2</v>
      </c>
      <c r="F49" t="s">
        <v>178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172</v>
      </c>
      <c r="E50">
        <v>2</v>
      </c>
      <c r="F50" t="s">
        <v>192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172</v>
      </c>
      <c r="E51">
        <v>2</v>
      </c>
      <c r="F51" t="s">
        <v>167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172</v>
      </c>
      <c r="E52">
        <v>2</v>
      </c>
      <c r="F52" t="s">
        <v>167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172</v>
      </c>
      <c r="E53">
        <v>2</v>
      </c>
      <c r="F53" t="s">
        <v>167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172</v>
      </c>
      <c r="E54">
        <v>2</v>
      </c>
      <c r="F54" t="s">
        <v>167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172</v>
      </c>
      <c r="E55">
        <v>2</v>
      </c>
      <c r="F55" t="s">
        <v>167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172</v>
      </c>
      <c r="E56">
        <v>2</v>
      </c>
      <c r="F56" t="s">
        <v>167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172</v>
      </c>
      <c r="E57">
        <v>2</v>
      </c>
      <c r="F57" t="s">
        <v>167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172</v>
      </c>
      <c r="E58">
        <v>2</v>
      </c>
      <c r="F58" t="s">
        <v>167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166</v>
      </c>
      <c r="E59">
        <v>2</v>
      </c>
      <c r="F59" t="s">
        <v>167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172</v>
      </c>
      <c r="E60">
        <v>2</v>
      </c>
      <c r="F60" t="s">
        <v>178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172</v>
      </c>
      <c r="E61">
        <v>2</v>
      </c>
      <c r="F61" t="s">
        <v>181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172</v>
      </c>
      <c r="E62">
        <v>2</v>
      </c>
      <c r="F62" t="s">
        <v>167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172</v>
      </c>
      <c r="E63">
        <v>2</v>
      </c>
      <c r="F63" t="s">
        <v>167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172</v>
      </c>
      <c r="E64">
        <v>2</v>
      </c>
      <c r="F64" t="s">
        <v>167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166</v>
      </c>
      <c r="E65">
        <v>2</v>
      </c>
      <c r="F65" t="s">
        <v>167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172</v>
      </c>
      <c r="E66">
        <v>2</v>
      </c>
      <c r="F66" t="s">
        <v>167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172</v>
      </c>
      <c r="E67">
        <v>2</v>
      </c>
      <c r="F67" t="s">
        <v>167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172</v>
      </c>
      <c r="E68">
        <v>2</v>
      </c>
      <c r="F68" t="s">
        <v>167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172</v>
      </c>
      <c r="E69">
        <v>2</v>
      </c>
      <c r="F69" t="s">
        <v>167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172</v>
      </c>
      <c r="E70">
        <v>2</v>
      </c>
      <c r="F70" t="s">
        <v>167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166</v>
      </c>
      <c r="E71">
        <v>2</v>
      </c>
      <c r="F71" t="s">
        <v>167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166</v>
      </c>
      <c r="E72">
        <v>2</v>
      </c>
      <c r="F72" t="s">
        <v>181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172</v>
      </c>
      <c r="E73">
        <v>2</v>
      </c>
      <c r="F73" t="s">
        <v>167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172</v>
      </c>
      <c r="E74">
        <v>2</v>
      </c>
      <c r="F74" t="s">
        <v>167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172</v>
      </c>
      <c r="E75">
        <v>2</v>
      </c>
      <c r="F75" t="s">
        <v>167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172</v>
      </c>
      <c r="E76">
        <v>2</v>
      </c>
      <c r="F76" t="s">
        <v>167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172</v>
      </c>
      <c r="E77">
        <v>2</v>
      </c>
      <c r="F77" t="s">
        <v>178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172</v>
      </c>
      <c r="E78">
        <v>2</v>
      </c>
      <c r="F78" t="s">
        <v>178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172</v>
      </c>
      <c r="E79">
        <v>2</v>
      </c>
      <c r="F79" t="s">
        <v>178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172</v>
      </c>
      <c r="E80">
        <v>2</v>
      </c>
      <c r="F80" t="s">
        <v>178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172</v>
      </c>
      <c r="E81">
        <v>2</v>
      </c>
      <c r="F81" t="s">
        <v>168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198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172</v>
      </c>
      <c r="E82">
        <v>2</v>
      </c>
      <c r="F82" t="s">
        <v>168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198</v>
      </c>
      <c r="N82">
        <v>47</v>
      </c>
      <c r="O82">
        <v>66</v>
      </c>
      <c r="T82" t="str">
        <f t="shared" si="13"/>
        <v/>
      </c>
    </row>
    <row r="83" spans="1:20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172</v>
      </c>
      <c r="E83">
        <v>2</v>
      </c>
      <c r="F83" t="s">
        <v>178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172</v>
      </c>
      <c r="E84">
        <v>2</v>
      </c>
      <c r="F84" t="s">
        <v>174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172</v>
      </c>
      <c r="E85">
        <v>2</v>
      </c>
      <c r="F85" t="s">
        <v>167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172</v>
      </c>
      <c r="E86">
        <v>2</v>
      </c>
      <c r="F86" t="s">
        <v>167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166</v>
      </c>
      <c r="E87">
        <v>2</v>
      </c>
      <c r="F87" t="s">
        <v>167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172</v>
      </c>
      <c r="E88">
        <v>2</v>
      </c>
      <c r="F88" t="s">
        <v>178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172</v>
      </c>
      <c r="E89">
        <v>2</v>
      </c>
      <c r="F89" t="s">
        <v>174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172</v>
      </c>
      <c r="E90">
        <v>2</v>
      </c>
      <c r="F90" t="s">
        <v>167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172</v>
      </c>
      <c r="E91">
        <v>2</v>
      </c>
      <c r="F91" t="s">
        <v>167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172</v>
      </c>
      <c r="E92">
        <v>2</v>
      </c>
      <c r="F92" t="s">
        <v>167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172</v>
      </c>
      <c r="E93">
        <v>2</v>
      </c>
      <c r="F93" t="s">
        <v>173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172</v>
      </c>
      <c r="E94">
        <v>2</v>
      </c>
      <c r="F94" t="s">
        <v>174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172</v>
      </c>
      <c r="E95">
        <v>2</v>
      </c>
      <c r="F95" t="s">
        <v>178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172</v>
      </c>
      <c r="E96">
        <v>2</v>
      </c>
      <c r="F96" t="s">
        <v>178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172</v>
      </c>
      <c r="E97">
        <v>2</v>
      </c>
      <c r="F97" t="s">
        <v>178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172</v>
      </c>
      <c r="E98">
        <v>2</v>
      </c>
      <c r="F98" t="s">
        <v>167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172</v>
      </c>
      <c r="E99">
        <v>2</v>
      </c>
      <c r="F99" t="s">
        <v>167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172</v>
      </c>
      <c r="E100">
        <v>2</v>
      </c>
      <c r="F100" t="s">
        <v>167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172</v>
      </c>
      <c r="E101">
        <v>2</v>
      </c>
      <c r="F101" t="s">
        <v>167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172</v>
      </c>
      <c r="E102">
        <v>2</v>
      </c>
      <c r="F102" t="s">
        <v>167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172</v>
      </c>
      <c r="E103">
        <v>2</v>
      </c>
      <c r="F103" t="s">
        <v>167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172</v>
      </c>
      <c r="E104">
        <v>2</v>
      </c>
      <c r="F104" t="s">
        <v>167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172</v>
      </c>
      <c r="E105">
        <v>2</v>
      </c>
      <c r="F105" t="s">
        <v>167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166</v>
      </c>
      <c r="E106">
        <v>2</v>
      </c>
      <c r="F106" t="s">
        <v>167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172</v>
      </c>
      <c r="E107">
        <v>2</v>
      </c>
      <c r="F107" t="s">
        <v>178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172</v>
      </c>
      <c r="E108">
        <v>2</v>
      </c>
      <c r="F108" t="s">
        <v>178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172</v>
      </c>
      <c r="E109">
        <v>2</v>
      </c>
      <c r="F109" t="s">
        <v>178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172</v>
      </c>
      <c r="E110">
        <v>2</v>
      </c>
      <c r="F110" t="s">
        <v>181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172</v>
      </c>
      <c r="E111">
        <v>2</v>
      </c>
      <c r="F111" t="s">
        <v>178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172</v>
      </c>
      <c r="E112">
        <v>2</v>
      </c>
      <c r="F112" t="s">
        <v>181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172</v>
      </c>
      <c r="E113">
        <v>2</v>
      </c>
      <c r="F113" t="s">
        <v>167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172</v>
      </c>
      <c r="E114">
        <v>2</v>
      </c>
      <c r="F114" t="s">
        <v>167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172</v>
      </c>
      <c r="E115">
        <v>2</v>
      </c>
      <c r="F115" t="s">
        <v>167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166</v>
      </c>
      <c r="E116">
        <v>2</v>
      </c>
      <c r="F116" t="s">
        <v>167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172</v>
      </c>
      <c r="E117">
        <v>2</v>
      </c>
      <c r="F117" t="s">
        <v>178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172</v>
      </c>
      <c r="E118">
        <v>2</v>
      </c>
      <c r="F118" t="s">
        <v>178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172</v>
      </c>
      <c r="E119">
        <v>2</v>
      </c>
      <c r="F119" t="s">
        <v>178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172</v>
      </c>
      <c r="E120">
        <v>2</v>
      </c>
      <c r="F120" t="s">
        <v>178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172</v>
      </c>
      <c r="E121">
        <v>2</v>
      </c>
      <c r="F121" t="s">
        <v>178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172</v>
      </c>
      <c r="E122">
        <v>2</v>
      </c>
      <c r="F122" t="s">
        <v>178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172</v>
      </c>
      <c r="E123">
        <v>2</v>
      </c>
      <c r="F123" t="s">
        <v>178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172</v>
      </c>
      <c r="E124">
        <v>2</v>
      </c>
      <c r="F124" t="s">
        <v>167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172</v>
      </c>
      <c r="E125">
        <v>2</v>
      </c>
      <c r="F125" t="s">
        <v>167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172</v>
      </c>
      <c r="E126">
        <v>2</v>
      </c>
      <c r="F126" t="s">
        <v>167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166</v>
      </c>
      <c r="E127">
        <v>2</v>
      </c>
      <c r="F127" t="s">
        <v>167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172</v>
      </c>
      <c r="E128">
        <v>2</v>
      </c>
      <c r="F128" t="s">
        <v>181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200</v>
      </c>
    </row>
    <row r="129" spans="1:2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172</v>
      </c>
      <c r="E129">
        <v>2</v>
      </c>
      <c r="F129" t="s">
        <v>182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200</v>
      </c>
    </row>
    <row r="130" spans="1:2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172</v>
      </c>
      <c r="E130">
        <v>2</v>
      </c>
      <c r="F130" t="s">
        <v>181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200</v>
      </c>
    </row>
    <row r="131" spans="1:2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172</v>
      </c>
      <c r="E131">
        <v>2</v>
      </c>
      <c r="F131" t="s">
        <v>167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200</v>
      </c>
    </row>
    <row r="132" spans="1:2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172</v>
      </c>
      <c r="E132">
        <v>2</v>
      </c>
      <c r="F132" t="s">
        <v>167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200</v>
      </c>
    </row>
    <row r="133" spans="1:2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166</v>
      </c>
      <c r="E133">
        <v>2</v>
      </c>
      <c r="F133" t="s">
        <v>167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172</v>
      </c>
      <c r="E134">
        <v>2</v>
      </c>
      <c r="F134" t="s">
        <v>178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172</v>
      </c>
      <c r="E135">
        <v>2</v>
      </c>
      <c r="F135" t="s">
        <v>178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172</v>
      </c>
      <c r="E136">
        <v>2</v>
      </c>
      <c r="F136" t="s">
        <v>178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172</v>
      </c>
      <c r="E137">
        <v>2</v>
      </c>
      <c r="F137" t="s">
        <v>178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172</v>
      </c>
      <c r="E138">
        <v>2</v>
      </c>
      <c r="F138" t="s">
        <v>181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172</v>
      </c>
      <c r="E139">
        <v>2</v>
      </c>
      <c r="F139" t="s">
        <v>167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172</v>
      </c>
      <c r="E140">
        <v>2</v>
      </c>
      <c r="F140" t="s">
        <v>167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172</v>
      </c>
      <c r="E141">
        <v>2</v>
      </c>
      <c r="F141" t="s">
        <v>167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172</v>
      </c>
      <c r="E142">
        <v>2</v>
      </c>
      <c r="F142" t="s">
        <v>167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172</v>
      </c>
      <c r="E143">
        <v>2</v>
      </c>
      <c r="F143" t="s">
        <v>167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172</v>
      </c>
      <c r="E144">
        <v>2</v>
      </c>
      <c r="F144" t="s">
        <v>167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166</v>
      </c>
      <c r="E145">
        <v>2</v>
      </c>
      <c r="F145" t="s">
        <v>167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172</v>
      </c>
      <c r="E146">
        <v>2</v>
      </c>
      <c r="F146" t="s">
        <v>178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172</v>
      </c>
      <c r="E147">
        <v>2</v>
      </c>
      <c r="F147" t="s">
        <v>178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172</v>
      </c>
      <c r="E148">
        <v>2</v>
      </c>
      <c r="F148" t="s">
        <v>178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172</v>
      </c>
      <c r="E149">
        <v>2</v>
      </c>
      <c r="F149" t="s">
        <v>182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172</v>
      </c>
      <c r="E150">
        <v>2</v>
      </c>
      <c r="F150" t="s">
        <v>181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172</v>
      </c>
      <c r="E151">
        <v>2</v>
      </c>
      <c r="F151" t="s">
        <v>167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172</v>
      </c>
      <c r="E152">
        <v>2</v>
      </c>
      <c r="F152" t="s">
        <v>167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172</v>
      </c>
      <c r="E153">
        <v>2</v>
      </c>
      <c r="F153" t="s">
        <v>181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172</v>
      </c>
      <c r="E154">
        <v>2</v>
      </c>
      <c r="F154" t="s">
        <v>167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172</v>
      </c>
      <c r="E155">
        <v>2</v>
      </c>
      <c r="F155" t="s">
        <v>167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172</v>
      </c>
      <c r="E156">
        <v>2</v>
      </c>
      <c r="F156" t="s">
        <v>167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172</v>
      </c>
      <c r="E157">
        <v>2</v>
      </c>
      <c r="F157" t="s">
        <v>167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172</v>
      </c>
      <c r="E158">
        <v>2</v>
      </c>
      <c r="F158" t="s">
        <v>182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166</v>
      </c>
      <c r="E159">
        <v>2</v>
      </c>
      <c r="F159" t="s">
        <v>168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199</v>
      </c>
      <c r="N159">
        <v>33.56</v>
      </c>
      <c r="O159">
        <v>27</v>
      </c>
      <c r="T159" t="str">
        <f t="shared" si="20"/>
        <v/>
      </c>
    </row>
    <row r="160" spans="1:20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166</v>
      </c>
      <c r="E160">
        <v>2</v>
      </c>
      <c r="F160" t="s">
        <v>167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172</v>
      </c>
      <c r="E161">
        <v>2</v>
      </c>
      <c r="F161" t="s">
        <v>178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172</v>
      </c>
      <c r="E162">
        <v>2</v>
      </c>
      <c r="F162" t="s">
        <v>178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172</v>
      </c>
      <c r="E163">
        <v>2</v>
      </c>
      <c r="F163" t="s">
        <v>178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172</v>
      </c>
      <c r="E164">
        <v>2</v>
      </c>
      <c r="F164" t="s">
        <v>178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172</v>
      </c>
      <c r="E165">
        <v>2</v>
      </c>
      <c r="F165" t="s">
        <v>178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172</v>
      </c>
      <c r="E166">
        <v>2</v>
      </c>
      <c r="F166" t="s">
        <v>181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172</v>
      </c>
      <c r="E167">
        <v>2</v>
      </c>
      <c r="F167" t="s">
        <v>167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172</v>
      </c>
      <c r="E168">
        <v>2</v>
      </c>
      <c r="F168" t="s">
        <v>167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172</v>
      </c>
      <c r="E169">
        <v>2</v>
      </c>
      <c r="F169" t="s">
        <v>167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172</v>
      </c>
      <c r="E170">
        <v>2</v>
      </c>
      <c r="F170" t="s">
        <v>167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172</v>
      </c>
      <c r="E171">
        <v>2</v>
      </c>
      <c r="F171" t="s">
        <v>167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166</v>
      </c>
      <c r="E172">
        <v>2</v>
      </c>
      <c r="F172" t="s">
        <v>167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172</v>
      </c>
      <c r="E173">
        <v>2</v>
      </c>
      <c r="F173" t="s">
        <v>181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172</v>
      </c>
      <c r="E174">
        <v>2</v>
      </c>
      <c r="F174" t="s">
        <v>178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172</v>
      </c>
      <c r="E175">
        <v>2</v>
      </c>
      <c r="F175" t="s">
        <v>178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172</v>
      </c>
      <c r="E176">
        <v>2</v>
      </c>
      <c r="F176" t="s">
        <v>178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172</v>
      </c>
      <c r="E177">
        <v>2</v>
      </c>
      <c r="F177" t="s">
        <v>178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172</v>
      </c>
      <c r="E178">
        <v>2</v>
      </c>
      <c r="F178" t="s">
        <v>178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172</v>
      </c>
      <c r="E179">
        <v>2</v>
      </c>
      <c r="F179" t="s">
        <v>178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172</v>
      </c>
      <c r="E180">
        <v>2</v>
      </c>
      <c r="F180" t="s">
        <v>178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172</v>
      </c>
      <c r="E181">
        <v>2</v>
      </c>
      <c r="F181" t="s">
        <v>178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172</v>
      </c>
      <c r="E182">
        <v>2</v>
      </c>
      <c r="F182" t="s">
        <v>178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172</v>
      </c>
      <c r="E183">
        <v>2</v>
      </c>
      <c r="F183" t="s">
        <v>178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172</v>
      </c>
      <c r="E184">
        <v>2</v>
      </c>
      <c r="F184" t="s">
        <v>178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172</v>
      </c>
      <c r="E185">
        <v>2</v>
      </c>
      <c r="F185" t="s">
        <v>174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172</v>
      </c>
      <c r="E186">
        <v>2</v>
      </c>
      <c r="F186" t="s">
        <v>167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172</v>
      </c>
      <c r="E187">
        <v>2</v>
      </c>
      <c r="F187" t="s">
        <v>167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172</v>
      </c>
      <c r="E188">
        <v>2</v>
      </c>
      <c r="F188" t="s">
        <v>167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166</v>
      </c>
      <c r="E189">
        <v>2</v>
      </c>
      <c r="F189" t="s">
        <v>167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172</v>
      </c>
      <c r="E190">
        <v>2</v>
      </c>
      <c r="F190" t="s">
        <v>178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172</v>
      </c>
      <c r="E191">
        <v>2</v>
      </c>
      <c r="F191" t="s">
        <v>178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172</v>
      </c>
      <c r="E192">
        <v>2</v>
      </c>
      <c r="F192" t="s">
        <v>178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172</v>
      </c>
      <c r="E193">
        <v>2</v>
      </c>
      <c r="F193" t="s">
        <v>178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172</v>
      </c>
      <c r="E194">
        <v>2</v>
      </c>
      <c r="F194" t="s">
        <v>178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172</v>
      </c>
      <c r="E195">
        <v>2</v>
      </c>
      <c r="F195" t="s">
        <v>178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172</v>
      </c>
      <c r="E196">
        <v>2</v>
      </c>
      <c r="F196" t="s">
        <v>178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172</v>
      </c>
      <c r="E197">
        <v>2</v>
      </c>
      <c r="F197" t="s">
        <v>178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172</v>
      </c>
      <c r="E198">
        <v>2</v>
      </c>
      <c r="F198" t="s">
        <v>178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172</v>
      </c>
      <c r="E199">
        <v>2</v>
      </c>
      <c r="F199" t="s">
        <v>178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172</v>
      </c>
      <c r="E200">
        <v>2</v>
      </c>
      <c r="F200" t="s">
        <v>178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172</v>
      </c>
      <c r="E201">
        <v>2</v>
      </c>
      <c r="F201" t="s">
        <v>178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172</v>
      </c>
      <c r="E202">
        <v>2</v>
      </c>
      <c r="F202" t="s">
        <v>178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172</v>
      </c>
      <c r="E203">
        <v>2</v>
      </c>
      <c r="F203" t="s">
        <v>178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172</v>
      </c>
      <c r="E204">
        <v>2</v>
      </c>
      <c r="F204" t="s">
        <v>178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172</v>
      </c>
      <c r="E205">
        <v>2</v>
      </c>
      <c r="F205" t="s">
        <v>178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172</v>
      </c>
      <c r="E206">
        <v>2</v>
      </c>
      <c r="F206" t="s">
        <v>178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172</v>
      </c>
      <c r="E207">
        <v>2</v>
      </c>
      <c r="F207" t="s">
        <v>178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172</v>
      </c>
      <c r="E208">
        <v>2</v>
      </c>
      <c r="F208" t="s">
        <v>178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172</v>
      </c>
      <c r="E209">
        <v>2</v>
      </c>
      <c r="F209" t="s">
        <v>178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172</v>
      </c>
      <c r="E210">
        <v>2</v>
      </c>
      <c r="F210" t="s">
        <v>178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172</v>
      </c>
      <c r="E211">
        <v>2</v>
      </c>
      <c r="F211" t="s">
        <v>174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172</v>
      </c>
      <c r="E212">
        <v>2</v>
      </c>
      <c r="F212" t="s">
        <v>181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172</v>
      </c>
      <c r="E213">
        <v>2</v>
      </c>
      <c r="F213" t="s">
        <v>167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172</v>
      </c>
      <c r="E214">
        <v>2</v>
      </c>
      <c r="F214" t="s">
        <v>167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172</v>
      </c>
      <c r="E215">
        <v>2</v>
      </c>
      <c r="F215" t="s">
        <v>167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172</v>
      </c>
      <c r="E216">
        <v>2</v>
      </c>
      <c r="F216" t="s">
        <v>167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172</v>
      </c>
      <c r="E217">
        <v>2</v>
      </c>
      <c r="F217" t="s">
        <v>167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166</v>
      </c>
      <c r="E218">
        <v>2</v>
      </c>
      <c r="F218" t="s">
        <v>167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172</v>
      </c>
      <c r="E219">
        <v>2</v>
      </c>
      <c r="F219" t="s">
        <v>167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172</v>
      </c>
      <c r="E220">
        <v>2</v>
      </c>
      <c r="F220" t="s">
        <v>167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172</v>
      </c>
      <c r="E221">
        <v>2</v>
      </c>
      <c r="F221" t="s">
        <v>178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172</v>
      </c>
      <c r="E222">
        <v>2</v>
      </c>
      <c r="F222" t="s">
        <v>167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172</v>
      </c>
      <c r="E223">
        <v>2</v>
      </c>
      <c r="F223" t="s">
        <v>167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172</v>
      </c>
      <c r="E224">
        <v>2</v>
      </c>
      <c r="F224" t="s">
        <v>167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172</v>
      </c>
      <c r="E225">
        <v>2</v>
      </c>
      <c r="F225" t="s">
        <v>167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166</v>
      </c>
      <c r="E226">
        <v>2</v>
      </c>
      <c r="F226" t="s">
        <v>167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172</v>
      </c>
      <c r="E227">
        <v>1</v>
      </c>
      <c r="F227" t="s">
        <v>168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198</v>
      </c>
      <c r="N227">
        <v>37.11</v>
      </c>
      <c r="O227">
        <v>35</v>
      </c>
      <c r="T227" t="str">
        <f t="shared" si="26"/>
        <v/>
      </c>
      <c r="U227" t="s">
        <v>201</v>
      </c>
    </row>
    <row r="228" spans="1:2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172</v>
      </c>
      <c r="E228">
        <v>1</v>
      </c>
      <c r="F228" t="s">
        <v>167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201</v>
      </c>
    </row>
    <row r="229" spans="1:2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172</v>
      </c>
      <c r="E229">
        <v>1</v>
      </c>
      <c r="F229" t="s">
        <v>167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201</v>
      </c>
    </row>
    <row r="230" spans="1:2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172</v>
      </c>
      <c r="E230">
        <v>1</v>
      </c>
      <c r="F230" t="s">
        <v>167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201</v>
      </c>
    </row>
    <row r="231" spans="1:2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166</v>
      </c>
      <c r="E231">
        <v>2</v>
      </c>
      <c r="F231" t="s">
        <v>167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172</v>
      </c>
      <c r="E232">
        <v>2</v>
      </c>
      <c r="F232" t="s">
        <v>182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172</v>
      </c>
      <c r="E233">
        <v>2</v>
      </c>
      <c r="F233" t="s">
        <v>178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172</v>
      </c>
      <c r="E234">
        <v>2</v>
      </c>
      <c r="F234" t="s">
        <v>178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172</v>
      </c>
      <c r="E235">
        <v>2</v>
      </c>
      <c r="F235" t="s">
        <v>178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172</v>
      </c>
      <c r="E236">
        <v>2</v>
      </c>
      <c r="F236" t="s">
        <v>178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172</v>
      </c>
      <c r="E237">
        <v>2</v>
      </c>
      <c r="F237" t="s">
        <v>178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172</v>
      </c>
      <c r="E238">
        <v>2</v>
      </c>
      <c r="F238" t="s">
        <v>178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172</v>
      </c>
      <c r="E239">
        <v>2</v>
      </c>
      <c r="F239" t="s">
        <v>178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172</v>
      </c>
      <c r="E240">
        <v>2</v>
      </c>
      <c r="F240" t="s">
        <v>178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172</v>
      </c>
      <c r="E241">
        <v>2</v>
      </c>
      <c r="F241" t="s">
        <v>178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172</v>
      </c>
      <c r="E242">
        <v>2</v>
      </c>
      <c r="F242" t="s">
        <v>178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172</v>
      </c>
      <c r="E243">
        <v>2</v>
      </c>
      <c r="F243" t="s">
        <v>178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172</v>
      </c>
      <c r="E244">
        <v>2</v>
      </c>
      <c r="F244" t="s">
        <v>178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172</v>
      </c>
      <c r="E245">
        <v>2</v>
      </c>
      <c r="F245" t="s">
        <v>178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172</v>
      </c>
      <c r="E246">
        <v>2</v>
      </c>
      <c r="F246" t="s">
        <v>178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172</v>
      </c>
      <c r="E247">
        <v>2</v>
      </c>
      <c r="F247" t="s">
        <v>178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172</v>
      </c>
      <c r="E248">
        <v>2</v>
      </c>
      <c r="F248" t="s">
        <v>178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172</v>
      </c>
      <c r="E249">
        <v>2</v>
      </c>
      <c r="F249" t="s">
        <v>168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198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172</v>
      </c>
      <c r="E250">
        <v>2</v>
      </c>
      <c r="F250" t="s">
        <v>168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198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172</v>
      </c>
      <c r="E251">
        <v>2</v>
      </c>
      <c r="F251" t="s">
        <v>168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198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172</v>
      </c>
      <c r="E252">
        <v>2</v>
      </c>
      <c r="F252" t="s">
        <v>168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198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172</v>
      </c>
      <c r="E253">
        <v>2</v>
      </c>
      <c r="F253" t="s">
        <v>168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199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172</v>
      </c>
      <c r="E254">
        <v>2</v>
      </c>
      <c r="F254" t="s">
        <v>168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198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172</v>
      </c>
      <c r="E255">
        <v>2</v>
      </c>
      <c r="F255" t="s">
        <v>168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199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172</v>
      </c>
      <c r="E256">
        <v>2</v>
      </c>
      <c r="F256" t="s">
        <v>168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198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172</v>
      </c>
      <c r="E257">
        <v>2</v>
      </c>
      <c r="F257" t="s">
        <v>168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199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172</v>
      </c>
      <c r="E258">
        <v>2</v>
      </c>
      <c r="F258" t="s">
        <v>168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199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172</v>
      </c>
      <c r="E259">
        <v>2</v>
      </c>
      <c r="F259" t="s">
        <v>168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199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172</v>
      </c>
      <c r="E260">
        <v>2</v>
      </c>
      <c r="F260" t="s">
        <v>168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198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172</v>
      </c>
      <c r="E261">
        <v>2</v>
      </c>
      <c r="F261" t="s">
        <v>168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198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172</v>
      </c>
      <c r="E262">
        <v>2</v>
      </c>
      <c r="F262" t="s">
        <v>168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198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172</v>
      </c>
      <c r="E263">
        <v>2</v>
      </c>
      <c r="F263" t="s">
        <v>168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199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172</v>
      </c>
      <c r="E264">
        <v>2</v>
      </c>
      <c r="F264" t="s">
        <v>168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198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172</v>
      </c>
      <c r="E265">
        <v>2</v>
      </c>
      <c r="F265" t="s">
        <v>168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199</v>
      </c>
      <c r="N265">
        <v>24.7</v>
      </c>
      <c r="O265">
        <v>12</v>
      </c>
      <c r="T265" t="str">
        <f t="shared" si="33"/>
        <v/>
      </c>
    </row>
    <row r="266" spans="1:2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172</v>
      </c>
      <c r="E266">
        <v>2</v>
      </c>
      <c r="F266" t="s">
        <v>181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172</v>
      </c>
      <c r="E267">
        <v>2</v>
      </c>
      <c r="F267" t="s">
        <v>167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172</v>
      </c>
      <c r="E268">
        <v>2</v>
      </c>
      <c r="F268" t="s">
        <v>167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166</v>
      </c>
      <c r="E269">
        <v>2</v>
      </c>
      <c r="F269" t="s">
        <v>167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172</v>
      </c>
      <c r="E270">
        <v>2</v>
      </c>
      <c r="F270" t="s">
        <v>168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199</v>
      </c>
      <c r="N270">
        <v>36.99</v>
      </c>
      <c r="O270">
        <v>35</v>
      </c>
      <c r="T270" t="str">
        <f t="shared" si="33"/>
        <v/>
      </c>
      <c r="U270" t="s">
        <v>200</v>
      </c>
    </row>
    <row r="271" spans="1:2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172</v>
      </c>
      <c r="E271">
        <v>2</v>
      </c>
      <c r="F271" t="s">
        <v>185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200</v>
      </c>
    </row>
    <row r="272" spans="1:2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172</v>
      </c>
      <c r="E272">
        <v>2</v>
      </c>
      <c r="F272" t="s">
        <v>181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200</v>
      </c>
    </row>
    <row r="273" spans="1:2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172</v>
      </c>
      <c r="E273">
        <v>2</v>
      </c>
      <c r="F273" t="s">
        <v>167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200</v>
      </c>
    </row>
    <row r="274" spans="1:2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166</v>
      </c>
      <c r="E274">
        <v>2</v>
      </c>
      <c r="F274" t="s">
        <v>167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172</v>
      </c>
      <c r="E275">
        <v>2</v>
      </c>
      <c r="F275" t="s">
        <v>178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172</v>
      </c>
      <c r="E276">
        <v>2</v>
      </c>
      <c r="F276" t="s">
        <v>178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172</v>
      </c>
      <c r="E277">
        <v>2</v>
      </c>
      <c r="F277" t="s">
        <v>178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172</v>
      </c>
      <c r="E278">
        <v>2</v>
      </c>
      <c r="F278" t="s">
        <v>178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172</v>
      </c>
      <c r="E279">
        <v>2</v>
      </c>
      <c r="F279" t="s">
        <v>178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172</v>
      </c>
      <c r="E280">
        <v>2</v>
      </c>
      <c r="F280" t="s">
        <v>178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172</v>
      </c>
      <c r="E281">
        <v>2</v>
      </c>
      <c r="F281" t="s">
        <v>178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172</v>
      </c>
      <c r="E282">
        <v>2</v>
      </c>
      <c r="F282" t="s">
        <v>178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172</v>
      </c>
      <c r="E283">
        <v>2</v>
      </c>
      <c r="F283" t="s">
        <v>168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198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172</v>
      </c>
      <c r="E284">
        <v>2</v>
      </c>
      <c r="F284" t="s">
        <v>168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199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172</v>
      </c>
      <c r="E285">
        <v>2</v>
      </c>
      <c r="F285" t="s">
        <v>168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198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172</v>
      </c>
      <c r="E286">
        <v>2</v>
      </c>
      <c r="F286" t="s">
        <v>168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199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172</v>
      </c>
      <c r="E287">
        <v>2</v>
      </c>
      <c r="F287" t="s">
        <v>168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198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172</v>
      </c>
      <c r="E288">
        <v>2</v>
      </c>
      <c r="F288" t="s">
        <v>168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199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172</v>
      </c>
      <c r="E289">
        <v>2</v>
      </c>
      <c r="F289" t="s">
        <v>168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198</v>
      </c>
      <c r="N289">
        <v>27.22</v>
      </c>
      <c r="O289">
        <v>14</v>
      </c>
      <c r="T289" t="str">
        <f t="shared" si="33"/>
        <v/>
      </c>
      <c r="U289" t="s">
        <v>202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172</v>
      </c>
      <c r="E290">
        <v>2</v>
      </c>
      <c r="F290" t="s">
        <v>168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198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172</v>
      </c>
      <c r="E291">
        <v>2</v>
      </c>
      <c r="F291" t="s">
        <v>168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198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172</v>
      </c>
      <c r="E292">
        <v>2</v>
      </c>
      <c r="F292" t="s">
        <v>168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199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172</v>
      </c>
      <c r="E293">
        <v>2</v>
      </c>
      <c r="F293" t="s">
        <v>168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199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203</v>
      </c>
    </row>
    <row r="294" spans="1:2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172</v>
      </c>
      <c r="E294">
        <v>2</v>
      </c>
      <c r="F294" t="s">
        <v>167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172</v>
      </c>
      <c r="E295">
        <v>2</v>
      </c>
      <c r="F295" t="s">
        <v>168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198</v>
      </c>
      <c r="N295">
        <v>16.95</v>
      </c>
      <c r="O295">
        <v>5</v>
      </c>
      <c r="T295" t="str">
        <f t="shared" si="33"/>
        <v/>
      </c>
    </row>
    <row r="296" spans="1:2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172</v>
      </c>
      <c r="E296">
        <v>2</v>
      </c>
      <c r="F296" t="s">
        <v>167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172</v>
      </c>
      <c r="E297">
        <v>2</v>
      </c>
      <c r="F297" t="s">
        <v>167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172</v>
      </c>
      <c r="E298">
        <v>2</v>
      </c>
      <c r="F298" t="s">
        <v>174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172</v>
      </c>
      <c r="E299">
        <v>2</v>
      </c>
      <c r="F299" t="s">
        <v>174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172</v>
      </c>
      <c r="E300">
        <v>2</v>
      </c>
      <c r="F300" t="s">
        <v>174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172</v>
      </c>
      <c r="E301">
        <v>2</v>
      </c>
      <c r="F301" t="s">
        <v>174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172</v>
      </c>
      <c r="E302">
        <v>2</v>
      </c>
      <c r="F302" t="s">
        <v>174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172</v>
      </c>
      <c r="E303">
        <v>2</v>
      </c>
      <c r="F303" t="s">
        <v>174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166</v>
      </c>
      <c r="E304">
        <v>2</v>
      </c>
      <c r="F304" t="s">
        <v>167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166</v>
      </c>
      <c r="E305">
        <v>2</v>
      </c>
      <c r="F305" t="s">
        <v>168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199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166</v>
      </c>
      <c r="E306">
        <v>2</v>
      </c>
      <c r="F306" t="s">
        <v>168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199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166</v>
      </c>
      <c r="E307">
        <v>2</v>
      </c>
      <c r="F307" t="s">
        <v>168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198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172</v>
      </c>
      <c r="E308">
        <v>2</v>
      </c>
      <c r="F308" t="s">
        <v>178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172</v>
      </c>
      <c r="E309">
        <v>2</v>
      </c>
      <c r="F309" t="s">
        <v>178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172</v>
      </c>
      <c r="E310">
        <v>2</v>
      </c>
      <c r="F310" t="s">
        <v>178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172</v>
      </c>
      <c r="E311">
        <v>2</v>
      </c>
      <c r="F311" t="s">
        <v>178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172</v>
      </c>
      <c r="E312">
        <v>2</v>
      </c>
      <c r="F312" t="s">
        <v>178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172</v>
      </c>
      <c r="E313">
        <v>2</v>
      </c>
      <c r="F313" t="s">
        <v>178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172</v>
      </c>
      <c r="E314">
        <v>2</v>
      </c>
      <c r="F314" t="s">
        <v>181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172</v>
      </c>
      <c r="E315">
        <v>2</v>
      </c>
      <c r="F315" t="s">
        <v>167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172</v>
      </c>
      <c r="E316">
        <v>2</v>
      </c>
      <c r="F316" t="s">
        <v>167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172</v>
      </c>
      <c r="E317">
        <v>2</v>
      </c>
      <c r="F317" t="s">
        <v>168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198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172</v>
      </c>
      <c r="E318">
        <v>2</v>
      </c>
      <c r="F318" t="s">
        <v>168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198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172</v>
      </c>
      <c r="E319">
        <v>2</v>
      </c>
      <c r="F319" t="s">
        <v>168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199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172</v>
      </c>
      <c r="E320">
        <v>2</v>
      </c>
      <c r="F320" t="s">
        <v>168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199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172</v>
      </c>
      <c r="E321">
        <v>2</v>
      </c>
      <c r="F321" t="s">
        <v>168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199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172</v>
      </c>
      <c r="E322">
        <v>2</v>
      </c>
      <c r="F322" t="s">
        <v>168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198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172</v>
      </c>
      <c r="E323">
        <v>2</v>
      </c>
      <c r="F323" t="s">
        <v>168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199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172</v>
      </c>
      <c r="E324">
        <v>2</v>
      </c>
      <c r="F324" t="s">
        <v>168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198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172</v>
      </c>
      <c r="E325">
        <v>2</v>
      </c>
      <c r="F325" t="s">
        <v>168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198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172</v>
      </c>
      <c r="E326">
        <v>2</v>
      </c>
      <c r="F326" t="s">
        <v>168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198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172</v>
      </c>
      <c r="E327">
        <v>2</v>
      </c>
      <c r="F327" t="s">
        <v>168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199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172</v>
      </c>
      <c r="E328">
        <v>2</v>
      </c>
      <c r="F328" t="s">
        <v>168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199</v>
      </c>
      <c r="N328">
        <v>16.05</v>
      </c>
      <c r="O328">
        <v>4</v>
      </c>
      <c r="T328" t="str">
        <f t="shared" si="35"/>
        <v/>
      </c>
    </row>
    <row r="329" spans="1:20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172</v>
      </c>
      <c r="E329">
        <v>2</v>
      </c>
      <c r="F329" t="s">
        <v>174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172</v>
      </c>
      <c r="E330">
        <v>2</v>
      </c>
      <c r="F330" t="s">
        <v>174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172</v>
      </c>
      <c r="E331">
        <v>2</v>
      </c>
      <c r="F331" t="s">
        <v>174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172</v>
      </c>
      <c r="E332">
        <v>2</v>
      </c>
      <c r="F332" t="s">
        <v>174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166</v>
      </c>
      <c r="E333">
        <v>2</v>
      </c>
      <c r="F333" t="s">
        <v>168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199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166</v>
      </c>
      <c r="E334">
        <v>2</v>
      </c>
      <c r="F334" t="s">
        <v>168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198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166</v>
      </c>
      <c r="E335">
        <v>2</v>
      </c>
      <c r="F335" t="s">
        <v>168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199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166</v>
      </c>
      <c r="E336">
        <v>2</v>
      </c>
      <c r="F336" t="s">
        <v>168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198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166</v>
      </c>
      <c r="E337">
        <v>2</v>
      </c>
      <c r="F337" t="s">
        <v>168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198</v>
      </c>
      <c r="N337">
        <v>26.1</v>
      </c>
      <c r="O337">
        <v>10</v>
      </c>
      <c r="T337" t="str">
        <f t="shared" si="35"/>
        <v/>
      </c>
    </row>
    <row r="338" spans="1:20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166</v>
      </c>
      <c r="E338">
        <v>2</v>
      </c>
      <c r="F338" t="s">
        <v>167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172</v>
      </c>
      <c r="E339">
        <v>2</v>
      </c>
      <c r="F339" t="s">
        <v>182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172</v>
      </c>
      <c r="E340">
        <v>2</v>
      </c>
      <c r="F340" t="s">
        <v>178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172</v>
      </c>
      <c r="E341">
        <v>2</v>
      </c>
      <c r="F341" t="s">
        <v>178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172</v>
      </c>
      <c r="E342">
        <v>2</v>
      </c>
      <c r="F342" t="s">
        <v>178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172</v>
      </c>
      <c r="E343">
        <v>2</v>
      </c>
      <c r="F343" t="s">
        <v>181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172</v>
      </c>
      <c r="E344">
        <v>2</v>
      </c>
      <c r="F344" t="s">
        <v>167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172</v>
      </c>
      <c r="E345">
        <v>2</v>
      </c>
      <c r="F345" t="s">
        <v>167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172</v>
      </c>
      <c r="E346">
        <v>2</v>
      </c>
      <c r="F346" t="s">
        <v>167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172</v>
      </c>
      <c r="E347">
        <v>2</v>
      </c>
      <c r="F347" t="s">
        <v>168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198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172</v>
      </c>
      <c r="E348">
        <v>2</v>
      </c>
      <c r="F348" t="s">
        <v>168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199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172</v>
      </c>
      <c r="E349">
        <v>2</v>
      </c>
      <c r="F349" t="s">
        <v>168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198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172</v>
      </c>
      <c r="E350">
        <v>2</v>
      </c>
      <c r="F350" t="s">
        <v>168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198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172</v>
      </c>
      <c r="E351">
        <v>2</v>
      </c>
      <c r="F351" t="s">
        <v>168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198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172</v>
      </c>
      <c r="E352">
        <v>2</v>
      </c>
      <c r="F352" t="s">
        <v>168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198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172</v>
      </c>
      <c r="E353">
        <v>2</v>
      </c>
      <c r="F353" t="s">
        <v>168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198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172</v>
      </c>
      <c r="E354">
        <v>2</v>
      </c>
      <c r="F354" t="s">
        <v>168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199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166</v>
      </c>
      <c r="E355">
        <v>2</v>
      </c>
      <c r="F355" t="s">
        <v>168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199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166</v>
      </c>
      <c r="E356">
        <v>2</v>
      </c>
      <c r="F356" t="s">
        <v>168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198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166</v>
      </c>
      <c r="E357">
        <v>2</v>
      </c>
      <c r="F357" t="s">
        <v>168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198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166</v>
      </c>
      <c r="E358">
        <v>2</v>
      </c>
      <c r="F358" t="s">
        <v>168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198</v>
      </c>
      <c r="N358">
        <v>30.15</v>
      </c>
      <c r="O358">
        <v>17</v>
      </c>
      <c r="T358" t="str">
        <f t="shared" si="35"/>
        <v/>
      </c>
    </row>
    <row r="359" spans="1:20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166</v>
      </c>
      <c r="E359">
        <v>2</v>
      </c>
      <c r="F359" t="s">
        <v>167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172</v>
      </c>
      <c r="E360">
        <v>2</v>
      </c>
      <c r="F360" t="s">
        <v>167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172</v>
      </c>
      <c r="E361">
        <v>2</v>
      </c>
      <c r="F361" t="s">
        <v>181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172</v>
      </c>
      <c r="E362">
        <v>2</v>
      </c>
      <c r="F362" t="s">
        <v>167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172</v>
      </c>
      <c r="E363">
        <v>2</v>
      </c>
      <c r="F363" t="s">
        <v>167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172</v>
      </c>
      <c r="E364">
        <v>2</v>
      </c>
      <c r="F364" t="s">
        <v>167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172</v>
      </c>
      <c r="E365">
        <v>2</v>
      </c>
      <c r="F365" t="s">
        <v>167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172</v>
      </c>
      <c r="E366">
        <v>2</v>
      </c>
      <c r="F366" t="s">
        <v>178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172</v>
      </c>
      <c r="E367">
        <v>2</v>
      </c>
      <c r="F367" t="s">
        <v>182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172</v>
      </c>
      <c r="E368">
        <v>2</v>
      </c>
      <c r="F368" t="s">
        <v>178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172</v>
      </c>
      <c r="E369">
        <v>2</v>
      </c>
      <c r="F369" t="s">
        <v>168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199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172</v>
      </c>
      <c r="E370">
        <v>2</v>
      </c>
      <c r="F370" t="s">
        <v>168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198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172</v>
      </c>
      <c r="E371">
        <v>2</v>
      </c>
      <c r="F371" t="s">
        <v>168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199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172</v>
      </c>
      <c r="E372">
        <v>2</v>
      </c>
      <c r="F372" t="s">
        <v>168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199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172</v>
      </c>
      <c r="E373">
        <v>2</v>
      </c>
      <c r="F373" t="s">
        <v>168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198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172</v>
      </c>
      <c r="E374">
        <v>2</v>
      </c>
      <c r="F374" t="s">
        <v>168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199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172</v>
      </c>
      <c r="E375">
        <v>2</v>
      </c>
      <c r="F375" t="s">
        <v>168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198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172</v>
      </c>
      <c r="E376">
        <v>2</v>
      </c>
      <c r="F376" t="s">
        <v>168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198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172</v>
      </c>
      <c r="E377">
        <v>2</v>
      </c>
      <c r="F377" t="s">
        <v>168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199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172</v>
      </c>
      <c r="E378">
        <v>2</v>
      </c>
      <c r="F378" t="s">
        <v>168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198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172</v>
      </c>
      <c r="E379">
        <v>2</v>
      </c>
      <c r="F379" t="s">
        <v>168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198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172</v>
      </c>
      <c r="E380">
        <v>2</v>
      </c>
      <c r="F380" t="s">
        <v>168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199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172</v>
      </c>
      <c r="E381">
        <v>2</v>
      </c>
      <c r="F381" t="s">
        <v>168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199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172</v>
      </c>
      <c r="E382">
        <v>2</v>
      </c>
      <c r="F382" t="s">
        <v>168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198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172</v>
      </c>
      <c r="E383">
        <v>2</v>
      </c>
      <c r="F383" t="s">
        <v>168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198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172</v>
      </c>
      <c r="E384">
        <v>2</v>
      </c>
      <c r="F384" t="s">
        <v>168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198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172</v>
      </c>
      <c r="E385">
        <v>2</v>
      </c>
      <c r="F385" t="s">
        <v>168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198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172</v>
      </c>
      <c r="E386">
        <v>2</v>
      </c>
      <c r="F386" t="s">
        <v>168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199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172</v>
      </c>
      <c r="E387">
        <v>2</v>
      </c>
      <c r="F387" t="s">
        <v>168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198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172</v>
      </c>
      <c r="E388">
        <v>2</v>
      </c>
      <c r="F388" t="s">
        <v>168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198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172</v>
      </c>
      <c r="E389">
        <v>2</v>
      </c>
      <c r="F389" t="s">
        <v>168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199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172</v>
      </c>
      <c r="E390">
        <v>2</v>
      </c>
      <c r="F390" t="s">
        <v>168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199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166</v>
      </c>
      <c r="E391">
        <v>2</v>
      </c>
      <c r="F391" t="s">
        <v>168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198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166</v>
      </c>
      <c r="E392">
        <v>2</v>
      </c>
      <c r="F392" t="s">
        <v>167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166</v>
      </c>
      <c r="E393">
        <v>2</v>
      </c>
      <c r="F393" t="s">
        <v>182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172</v>
      </c>
      <c r="E394">
        <v>2</v>
      </c>
      <c r="F394" t="s">
        <v>168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199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172</v>
      </c>
      <c r="E395">
        <v>2</v>
      </c>
      <c r="F395" t="s">
        <v>168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198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172</v>
      </c>
      <c r="E396">
        <v>2</v>
      </c>
      <c r="F396" t="s">
        <v>168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198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172</v>
      </c>
      <c r="E397">
        <v>2</v>
      </c>
      <c r="F397" t="s">
        <v>168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198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172</v>
      </c>
      <c r="E398">
        <v>2</v>
      </c>
      <c r="F398" t="s">
        <v>168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199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172</v>
      </c>
      <c r="E399">
        <v>2</v>
      </c>
      <c r="F399" t="s">
        <v>168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199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172</v>
      </c>
      <c r="E400">
        <v>2</v>
      </c>
      <c r="F400" t="s">
        <v>168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199</v>
      </c>
      <c r="N400">
        <v>25</v>
      </c>
      <c r="O400">
        <v>13</v>
      </c>
      <c r="T400" t="str">
        <f t="shared" si="42"/>
        <v/>
      </c>
    </row>
    <row r="401" spans="1:20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172</v>
      </c>
      <c r="E401">
        <v>2</v>
      </c>
      <c r="F401" t="s">
        <v>182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172</v>
      </c>
      <c r="E402">
        <v>2</v>
      </c>
      <c r="F402" t="s">
        <v>182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172</v>
      </c>
      <c r="E403">
        <v>2</v>
      </c>
      <c r="F403" t="s">
        <v>182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172</v>
      </c>
      <c r="E404">
        <v>2</v>
      </c>
      <c r="F404" t="s">
        <v>182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172</v>
      </c>
      <c r="E405">
        <v>2</v>
      </c>
      <c r="F405" t="s">
        <v>182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172</v>
      </c>
      <c r="E406">
        <v>2</v>
      </c>
      <c r="F406" t="s">
        <v>182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172</v>
      </c>
      <c r="E407">
        <v>2</v>
      </c>
      <c r="F407" t="s">
        <v>182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172</v>
      </c>
      <c r="E408">
        <v>2</v>
      </c>
      <c r="F408" t="s">
        <v>182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172</v>
      </c>
      <c r="E409">
        <v>2</v>
      </c>
      <c r="F409" t="s">
        <v>182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172</v>
      </c>
      <c r="E410">
        <v>2</v>
      </c>
      <c r="F410" t="s">
        <v>182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172</v>
      </c>
      <c r="E411">
        <v>2</v>
      </c>
      <c r="F411" t="s">
        <v>182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172</v>
      </c>
      <c r="E412">
        <v>2</v>
      </c>
      <c r="F412" t="s">
        <v>182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172</v>
      </c>
      <c r="E413">
        <v>2</v>
      </c>
      <c r="F413" t="s">
        <v>182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172</v>
      </c>
      <c r="E414">
        <v>2</v>
      </c>
      <c r="F414" t="s">
        <v>182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172</v>
      </c>
      <c r="E415">
        <v>2</v>
      </c>
      <c r="F415" t="s">
        <v>182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172</v>
      </c>
      <c r="E416">
        <v>2</v>
      </c>
      <c r="F416" t="s">
        <v>182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172</v>
      </c>
      <c r="E417">
        <v>2</v>
      </c>
      <c r="F417" t="s">
        <v>182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172</v>
      </c>
      <c r="E418">
        <v>2</v>
      </c>
      <c r="F418" t="s">
        <v>182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172</v>
      </c>
      <c r="E419">
        <v>2</v>
      </c>
      <c r="F419" t="s">
        <v>182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172</v>
      </c>
      <c r="E420">
        <v>2</v>
      </c>
      <c r="F420" t="s">
        <v>182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172</v>
      </c>
      <c r="E421">
        <v>2</v>
      </c>
      <c r="F421" t="s">
        <v>182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172</v>
      </c>
      <c r="E422">
        <v>2</v>
      </c>
      <c r="F422" t="s">
        <v>182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172</v>
      </c>
      <c r="E423">
        <v>2</v>
      </c>
      <c r="F423" t="s">
        <v>181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172</v>
      </c>
      <c r="E424">
        <v>2</v>
      </c>
      <c r="F424" t="s">
        <v>167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172</v>
      </c>
      <c r="E425">
        <v>2</v>
      </c>
      <c r="F425" t="s">
        <v>182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172</v>
      </c>
      <c r="E426">
        <v>2</v>
      </c>
      <c r="F426" t="s">
        <v>182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172</v>
      </c>
      <c r="E427">
        <v>2</v>
      </c>
      <c r="F427" t="s">
        <v>182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172</v>
      </c>
      <c r="E428">
        <v>2</v>
      </c>
      <c r="F428" t="s">
        <v>167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172</v>
      </c>
      <c r="E429">
        <v>2</v>
      </c>
      <c r="F429" t="s">
        <v>181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172</v>
      </c>
      <c r="E430">
        <v>2</v>
      </c>
      <c r="F430" t="s">
        <v>168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199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172</v>
      </c>
      <c r="E431">
        <v>2</v>
      </c>
      <c r="F431" t="s">
        <v>168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199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172</v>
      </c>
      <c r="E432">
        <v>2</v>
      </c>
      <c r="F432" t="s">
        <v>168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199</v>
      </c>
      <c r="N432">
        <v>35</v>
      </c>
      <c r="O432">
        <v>42</v>
      </c>
      <c r="T432" t="str">
        <f t="shared" si="42"/>
        <v/>
      </c>
      <c r="U432" t="s">
        <v>204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172</v>
      </c>
      <c r="E433">
        <v>2</v>
      </c>
      <c r="F433" t="s">
        <v>168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198</v>
      </c>
      <c r="N433">
        <v>29</v>
      </c>
      <c r="O433">
        <v>21</v>
      </c>
      <c r="T433" t="str">
        <f t="shared" si="42"/>
        <v/>
      </c>
    </row>
    <row r="434" spans="1:20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172</v>
      </c>
      <c r="E434">
        <v>2</v>
      </c>
      <c r="F434" t="s">
        <v>182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172</v>
      </c>
      <c r="E435">
        <v>2</v>
      </c>
      <c r="F435" t="s">
        <v>182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172</v>
      </c>
      <c r="E436">
        <v>2</v>
      </c>
      <c r="F436" t="s">
        <v>182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172</v>
      </c>
      <c r="E437">
        <v>2</v>
      </c>
      <c r="F437" t="s">
        <v>182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172</v>
      </c>
      <c r="E438">
        <v>2</v>
      </c>
      <c r="F438" t="s">
        <v>182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172</v>
      </c>
      <c r="E439">
        <v>2</v>
      </c>
      <c r="F439" t="s">
        <v>182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172</v>
      </c>
      <c r="E440">
        <v>2</v>
      </c>
      <c r="F440" t="s">
        <v>182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172</v>
      </c>
      <c r="E441">
        <v>2</v>
      </c>
      <c r="F441" t="s">
        <v>182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172</v>
      </c>
      <c r="E442">
        <v>2</v>
      </c>
      <c r="F442" t="s">
        <v>182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172</v>
      </c>
      <c r="E443">
        <v>2</v>
      </c>
      <c r="F443" t="s">
        <v>182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172</v>
      </c>
      <c r="E444">
        <v>2</v>
      </c>
      <c r="F444" t="s">
        <v>182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172</v>
      </c>
      <c r="E445">
        <v>2</v>
      </c>
      <c r="F445" t="s">
        <v>178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172</v>
      </c>
      <c r="E446">
        <v>2</v>
      </c>
      <c r="F446" t="s">
        <v>182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172</v>
      </c>
      <c r="E447">
        <v>2</v>
      </c>
      <c r="F447" t="s">
        <v>182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172</v>
      </c>
      <c r="E448">
        <v>2</v>
      </c>
      <c r="F448" t="s">
        <v>182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172</v>
      </c>
      <c r="E449">
        <v>2</v>
      </c>
      <c r="F449" t="s">
        <v>167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172</v>
      </c>
      <c r="E450">
        <v>2</v>
      </c>
      <c r="F450" t="s">
        <v>167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172</v>
      </c>
      <c r="E451">
        <v>2</v>
      </c>
      <c r="F451" t="s">
        <v>167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172</v>
      </c>
      <c r="E452">
        <v>2</v>
      </c>
      <c r="F452" t="s">
        <v>182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172</v>
      </c>
      <c r="E453">
        <v>2</v>
      </c>
      <c r="F453" t="s">
        <v>182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172</v>
      </c>
      <c r="E454">
        <v>2</v>
      </c>
      <c r="F454" t="s">
        <v>167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166</v>
      </c>
      <c r="E455">
        <v>2</v>
      </c>
      <c r="F455" t="s">
        <v>167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172</v>
      </c>
      <c r="E456">
        <v>2</v>
      </c>
      <c r="F456" t="s">
        <v>178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172</v>
      </c>
      <c r="E457">
        <v>2</v>
      </c>
      <c r="F457" t="s">
        <v>182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172</v>
      </c>
      <c r="E458">
        <v>2</v>
      </c>
      <c r="F458" t="s">
        <v>182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172</v>
      </c>
      <c r="E459">
        <v>2</v>
      </c>
      <c r="F459" t="s">
        <v>182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172</v>
      </c>
      <c r="E460">
        <v>2</v>
      </c>
      <c r="F460" t="s">
        <v>182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172</v>
      </c>
      <c r="E461">
        <v>2</v>
      </c>
      <c r="F461" t="s">
        <v>182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172</v>
      </c>
      <c r="E462">
        <v>2</v>
      </c>
      <c r="F462" t="s">
        <v>182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172</v>
      </c>
      <c r="E463">
        <v>2</v>
      </c>
      <c r="F463" t="s">
        <v>182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172</v>
      </c>
      <c r="E464">
        <v>2</v>
      </c>
      <c r="F464" t="s">
        <v>182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172</v>
      </c>
      <c r="E465">
        <v>2</v>
      </c>
      <c r="F465" t="s">
        <v>182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172</v>
      </c>
      <c r="E466">
        <v>2</v>
      </c>
      <c r="F466" t="s">
        <v>182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172</v>
      </c>
      <c r="E467">
        <v>2</v>
      </c>
      <c r="F467" t="s">
        <v>182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172</v>
      </c>
      <c r="E468">
        <v>2</v>
      </c>
      <c r="F468" t="s">
        <v>182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172</v>
      </c>
      <c r="E469">
        <v>2</v>
      </c>
      <c r="F469" t="s">
        <v>168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198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172</v>
      </c>
      <c r="E470">
        <v>2</v>
      </c>
      <c r="F470" t="s">
        <v>168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198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172</v>
      </c>
      <c r="E471">
        <v>2</v>
      </c>
      <c r="F471" t="s">
        <v>168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198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172</v>
      </c>
      <c r="E472">
        <v>2</v>
      </c>
      <c r="F472" t="s">
        <v>168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198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172</v>
      </c>
      <c r="E473">
        <v>2</v>
      </c>
      <c r="F473" t="s">
        <v>168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198</v>
      </c>
      <c r="N473">
        <v>34</v>
      </c>
      <c r="O473">
        <v>31</v>
      </c>
      <c r="T473" t="str">
        <f t="shared" si="50"/>
        <v/>
      </c>
    </row>
    <row r="474" spans="1:20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172</v>
      </c>
      <c r="E474">
        <v>2</v>
      </c>
      <c r="F474" t="s">
        <v>182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172</v>
      </c>
      <c r="E475">
        <v>2</v>
      </c>
      <c r="F475" t="s">
        <v>168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199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172</v>
      </c>
      <c r="E476">
        <v>2</v>
      </c>
      <c r="F476" t="s">
        <v>168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199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172</v>
      </c>
      <c r="E477">
        <v>2</v>
      </c>
      <c r="F477" t="s">
        <v>168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198</v>
      </c>
      <c r="N477">
        <v>24</v>
      </c>
      <c r="O477">
        <v>9</v>
      </c>
      <c r="T477" t="str">
        <f t="shared" si="50"/>
        <v/>
      </c>
    </row>
    <row r="478" spans="1:20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172</v>
      </c>
      <c r="E478">
        <v>2</v>
      </c>
      <c r="F478" t="s">
        <v>182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172</v>
      </c>
      <c r="E479">
        <v>2</v>
      </c>
      <c r="F479" t="s">
        <v>182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172</v>
      </c>
      <c r="E480">
        <v>2</v>
      </c>
      <c r="F480" t="s">
        <v>182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172</v>
      </c>
      <c r="E481">
        <v>2</v>
      </c>
      <c r="F481" t="s">
        <v>168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198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172</v>
      </c>
      <c r="E482">
        <v>2</v>
      </c>
      <c r="F482" t="s">
        <v>168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199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172</v>
      </c>
      <c r="E483">
        <v>2</v>
      </c>
      <c r="F483" t="s">
        <v>168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198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172</v>
      </c>
      <c r="E484">
        <v>2</v>
      </c>
      <c r="F484" t="s">
        <v>168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199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172</v>
      </c>
      <c r="E485">
        <v>2</v>
      </c>
      <c r="F485" t="s">
        <v>168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198</v>
      </c>
      <c r="N485">
        <v>23</v>
      </c>
      <c r="O485">
        <v>9</v>
      </c>
      <c r="T485" t="str">
        <f t="shared" si="50"/>
        <v/>
      </c>
    </row>
    <row r="486" spans="1:20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172</v>
      </c>
      <c r="E486">
        <v>2</v>
      </c>
      <c r="F486" t="s">
        <v>182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172</v>
      </c>
      <c r="E487">
        <v>2</v>
      </c>
      <c r="F487" t="s">
        <v>182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172</v>
      </c>
      <c r="E488">
        <v>2</v>
      </c>
      <c r="F488" t="s">
        <v>182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172</v>
      </c>
      <c r="E489">
        <v>2</v>
      </c>
      <c r="F489" t="s">
        <v>182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172</v>
      </c>
      <c r="E490">
        <v>2</v>
      </c>
      <c r="F490" t="s">
        <v>182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172</v>
      </c>
      <c r="E491">
        <v>2</v>
      </c>
      <c r="F491" t="s">
        <v>167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172</v>
      </c>
      <c r="E492">
        <v>2</v>
      </c>
      <c r="F492" t="s">
        <v>167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172</v>
      </c>
      <c r="E493">
        <v>2</v>
      </c>
      <c r="F493" t="s">
        <v>182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172</v>
      </c>
      <c r="E494">
        <v>2</v>
      </c>
      <c r="F494" t="s">
        <v>182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172</v>
      </c>
      <c r="E495">
        <v>2</v>
      </c>
      <c r="F495" t="s">
        <v>167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172</v>
      </c>
      <c r="E496">
        <v>2</v>
      </c>
      <c r="F496" t="s">
        <v>168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199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172</v>
      </c>
      <c r="E497">
        <v>2</v>
      </c>
      <c r="F497" t="s">
        <v>168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199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172</v>
      </c>
      <c r="E498">
        <v>2</v>
      </c>
      <c r="F498" t="s">
        <v>168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198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172</v>
      </c>
      <c r="E499">
        <v>2</v>
      </c>
      <c r="F499" t="s">
        <v>168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199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172</v>
      </c>
      <c r="E500">
        <v>2</v>
      </c>
      <c r="F500" t="s">
        <v>168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199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172</v>
      </c>
      <c r="E501">
        <v>2</v>
      </c>
      <c r="F501" t="s">
        <v>168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199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172</v>
      </c>
      <c r="E502">
        <v>2</v>
      </c>
      <c r="F502" t="s">
        <v>168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198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172</v>
      </c>
      <c r="E503">
        <v>2</v>
      </c>
      <c r="F503" t="s">
        <v>168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199</v>
      </c>
      <c r="N503">
        <v>21</v>
      </c>
      <c r="O503">
        <v>7</v>
      </c>
      <c r="T503" t="str">
        <f t="shared" si="50"/>
        <v/>
      </c>
      <c r="U503" t="s">
        <v>203</v>
      </c>
    </row>
    <row r="504" spans="1:2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172</v>
      </c>
      <c r="E504">
        <v>2</v>
      </c>
      <c r="F504" t="s">
        <v>182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172</v>
      </c>
      <c r="E505">
        <v>2</v>
      </c>
      <c r="F505" t="s">
        <v>182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172</v>
      </c>
      <c r="E506">
        <v>2</v>
      </c>
      <c r="F506" t="s">
        <v>182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172</v>
      </c>
      <c r="E507">
        <v>2</v>
      </c>
      <c r="F507" t="s">
        <v>182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172</v>
      </c>
      <c r="E508">
        <v>2</v>
      </c>
      <c r="F508" t="s">
        <v>182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172</v>
      </c>
      <c r="E509">
        <v>2</v>
      </c>
      <c r="F509" t="s">
        <v>182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172</v>
      </c>
      <c r="E510">
        <v>2</v>
      </c>
      <c r="F510" t="s">
        <v>182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172</v>
      </c>
      <c r="E511">
        <v>2</v>
      </c>
      <c r="F511" t="s">
        <v>167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172</v>
      </c>
      <c r="E512">
        <v>2</v>
      </c>
      <c r="F512" t="s">
        <v>167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172</v>
      </c>
      <c r="E513">
        <v>2</v>
      </c>
      <c r="F513" t="s">
        <v>182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172</v>
      </c>
      <c r="E514">
        <v>2</v>
      </c>
      <c r="F514" t="s">
        <v>167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172</v>
      </c>
      <c r="E515">
        <v>2</v>
      </c>
      <c r="F515" t="s">
        <v>167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166</v>
      </c>
      <c r="E516">
        <v>2</v>
      </c>
      <c r="F516" t="s">
        <v>167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172</v>
      </c>
      <c r="E517">
        <v>2</v>
      </c>
      <c r="F517" t="s">
        <v>182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172</v>
      </c>
      <c r="E518">
        <v>2</v>
      </c>
      <c r="F518" t="s">
        <v>167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172</v>
      </c>
      <c r="E519">
        <v>2</v>
      </c>
      <c r="F519" t="s">
        <v>167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172</v>
      </c>
      <c r="E520">
        <v>2</v>
      </c>
      <c r="F520" t="s">
        <v>167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172</v>
      </c>
      <c r="E521">
        <v>2</v>
      </c>
      <c r="F521" t="s">
        <v>182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172</v>
      </c>
      <c r="E522">
        <v>2</v>
      </c>
      <c r="F522" t="s">
        <v>182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172</v>
      </c>
      <c r="E523">
        <v>2</v>
      </c>
      <c r="F523" t="s">
        <v>182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172</v>
      </c>
      <c r="E524">
        <v>2</v>
      </c>
      <c r="F524" t="s">
        <v>182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172</v>
      </c>
      <c r="E525">
        <v>2</v>
      </c>
      <c r="F525" t="s">
        <v>167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172</v>
      </c>
      <c r="E526">
        <v>2</v>
      </c>
      <c r="F526" t="s">
        <v>167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166</v>
      </c>
      <c r="E527">
        <v>2</v>
      </c>
      <c r="F527" t="s">
        <v>167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172</v>
      </c>
      <c r="E528">
        <v>2</v>
      </c>
      <c r="F528" t="s">
        <v>168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199</v>
      </c>
      <c r="N528">
        <v>35</v>
      </c>
      <c r="O528">
        <v>34</v>
      </c>
      <c r="T528" t="str">
        <f t="shared" si="57"/>
        <v/>
      </c>
    </row>
    <row r="529" spans="1:20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172</v>
      </c>
      <c r="E529">
        <v>2</v>
      </c>
      <c r="F529" t="s">
        <v>182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172</v>
      </c>
      <c r="E530">
        <v>2</v>
      </c>
      <c r="F530" t="s">
        <v>182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172</v>
      </c>
      <c r="E531">
        <v>2</v>
      </c>
      <c r="F531" t="s">
        <v>182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172</v>
      </c>
      <c r="E532">
        <v>2</v>
      </c>
      <c r="F532" t="s">
        <v>182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172</v>
      </c>
      <c r="E533">
        <v>2</v>
      </c>
      <c r="F533" t="s">
        <v>182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172</v>
      </c>
      <c r="E534">
        <v>2</v>
      </c>
      <c r="F534" t="s">
        <v>182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172</v>
      </c>
      <c r="E535">
        <v>2</v>
      </c>
      <c r="F535" t="s">
        <v>182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172</v>
      </c>
      <c r="E536">
        <v>2</v>
      </c>
      <c r="F536" t="s">
        <v>167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172</v>
      </c>
      <c r="E537">
        <v>2</v>
      </c>
      <c r="F537" t="s">
        <v>181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172</v>
      </c>
      <c r="E538">
        <v>2</v>
      </c>
      <c r="F538" t="s">
        <v>182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172</v>
      </c>
      <c r="E539">
        <v>2</v>
      </c>
      <c r="F539" t="s">
        <v>182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172</v>
      </c>
      <c r="E540">
        <v>2</v>
      </c>
      <c r="F540" t="s">
        <v>182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172</v>
      </c>
      <c r="E541">
        <v>2</v>
      </c>
      <c r="F541" t="s">
        <v>182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172</v>
      </c>
      <c r="E542">
        <v>2</v>
      </c>
      <c r="F542" t="s">
        <v>182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172</v>
      </c>
      <c r="E543">
        <v>2</v>
      </c>
      <c r="F543" t="s">
        <v>182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172</v>
      </c>
      <c r="E544">
        <v>2</v>
      </c>
      <c r="F544" t="s">
        <v>182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172</v>
      </c>
      <c r="E545">
        <v>2</v>
      </c>
      <c r="F545" t="s">
        <v>182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172</v>
      </c>
      <c r="E546">
        <v>2</v>
      </c>
      <c r="F546" t="s">
        <v>182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172</v>
      </c>
      <c r="E547">
        <v>2</v>
      </c>
      <c r="F547" t="s">
        <v>182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172</v>
      </c>
      <c r="E548">
        <v>2</v>
      </c>
      <c r="F548" t="s">
        <v>182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172</v>
      </c>
      <c r="E549">
        <v>2</v>
      </c>
      <c r="F549" t="s">
        <v>182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172</v>
      </c>
      <c r="E550">
        <v>2</v>
      </c>
      <c r="F550" t="s">
        <v>182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172</v>
      </c>
      <c r="E551">
        <v>2</v>
      </c>
      <c r="F551" t="s">
        <v>182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172</v>
      </c>
      <c r="E552">
        <v>2</v>
      </c>
      <c r="F552" t="s">
        <v>182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172</v>
      </c>
      <c r="E553">
        <v>2</v>
      </c>
      <c r="F553" t="s">
        <v>182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172</v>
      </c>
      <c r="E554">
        <v>2</v>
      </c>
      <c r="F554" t="s">
        <v>182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172</v>
      </c>
      <c r="E555">
        <v>2</v>
      </c>
      <c r="F555" t="s">
        <v>181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172</v>
      </c>
      <c r="E556">
        <v>2</v>
      </c>
      <c r="F556" t="s">
        <v>167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172</v>
      </c>
      <c r="E557">
        <v>2</v>
      </c>
      <c r="F557" t="s">
        <v>167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166</v>
      </c>
      <c r="E558">
        <v>2</v>
      </c>
      <c r="F558" t="s">
        <v>167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172</v>
      </c>
      <c r="E559">
        <v>2</v>
      </c>
      <c r="F559" t="s">
        <v>168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199</v>
      </c>
      <c r="N559">
        <v>44.67</v>
      </c>
      <c r="O559">
        <v>49</v>
      </c>
      <c r="T559" t="str">
        <f t="shared" si="57"/>
        <v/>
      </c>
    </row>
    <row r="560" spans="1:20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172</v>
      </c>
      <c r="E560">
        <v>2</v>
      </c>
      <c r="F560" t="s">
        <v>178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172</v>
      </c>
      <c r="E561">
        <v>2</v>
      </c>
      <c r="F561" t="s">
        <v>178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172</v>
      </c>
      <c r="E562">
        <v>2</v>
      </c>
      <c r="F562" t="s">
        <v>178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172</v>
      </c>
      <c r="E563">
        <v>2</v>
      </c>
      <c r="F563" t="s">
        <v>178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172</v>
      </c>
      <c r="E564">
        <v>2</v>
      </c>
      <c r="F564" t="s">
        <v>178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172</v>
      </c>
      <c r="E565">
        <v>2</v>
      </c>
      <c r="F565" t="s">
        <v>178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172</v>
      </c>
      <c r="E566">
        <v>2</v>
      </c>
      <c r="F566" t="s">
        <v>178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172</v>
      </c>
      <c r="E567">
        <v>2</v>
      </c>
      <c r="F567" t="s">
        <v>181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172</v>
      </c>
      <c r="E568">
        <v>2</v>
      </c>
      <c r="F568" t="s">
        <v>167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172</v>
      </c>
      <c r="E569">
        <v>2</v>
      </c>
      <c r="F569" t="s">
        <v>178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172</v>
      </c>
      <c r="E570">
        <v>2</v>
      </c>
      <c r="F570" t="s">
        <v>178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172</v>
      </c>
      <c r="E571">
        <v>2</v>
      </c>
      <c r="F571" t="s">
        <v>178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172</v>
      </c>
      <c r="E572">
        <v>2</v>
      </c>
      <c r="F572" t="s">
        <v>168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199</v>
      </c>
      <c r="N572">
        <v>31.71</v>
      </c>
      <c r="O572">
        <v>21</v>
      </c>
      <c r="T572" t="str">
        <f t="shared" si="64"/>
        <v/>
      </c>
    </row>
    <row r="573" spans="1:20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172</v>
      </c>
      <c r="E573">
        <v>2</v>
      </c>
      <c r="F573" t="s">
        <v>167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172</v>
      </c>
      <c r="E574">
        <v>2</v>
      </c>
      <c r="F574" t="s">
        <v>167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166</v>
      </c>
      <c r="E575">
        <v>2</v>
      </c>
      <c r="F575" t="s">
        <v>167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172</v>
      </c>
      <c r="E576">
        <v>2</v>
      </c>
      <c r="F576" t="s">
        <v>178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172</v>
      </c>
      <c r="E577">
        <v>2</v>
      </c>
      <c r="F577" t="s">
        <v>192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172</v>
      </c>
      <c r="E578">
        <v>2</v>
      </c>
      <c r="F578" t="s">
        <v>167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172</v>
      </c>
      <c r="E579">
        <v>2</v>
      </c>
      <c r="F579" t="s">
        <v>174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172</v>
      </c>
      <c r="E580">
        <v>2</v>
      </c>
      <c r="F580" t="s">
        <v>174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172</v>
      </c>
      <c r="E581">
        <v>2</v>
      </c>
      <c r="F581" t="s">
        <v>174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172</v>
      </c>
      <c r="E582">
        <v>2</v>
      </c>
      <c r="F582" t="s">
        <v>174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172</v>
      </c>
      <c r="E583">
        <v>2</v>
      </c>
      <c r="F583" t="s">
        <v>168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198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172</v>
      </c>
      <c r="E584">
        <v>2</v>
      </c>
      <c r="F584" t="s">
        <v>168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199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172</v>
      </c>
      <c r="E585">
        <v>2</v>
      </c>
      <c r="F585" t="s">
        <v>168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199</v>
      </c>
      <c r="N585">
        <v>21.28</v>
      </c>
      <c r="T585" t="str">
        <f t="shared" si="64"/>
        <v/>
      </c>
    </row>
    <row r="586" spans="1:20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172</v>
      </c>
      <c r="E586">
        <v>2</v>
      </c>
      <c r="F586" t="s">
        <v>178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172</v>
      </c>
      <c r="E587">
        <v>2</v>
      </c>
      <c r="F587" t="s">
        <v>167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166</v>
      </c>
      <c r="E588">
        <v>2</v>
      </c>
      <c r="F588" t="s">
        <v>167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172</v>
      </c>
      <c r="E589">
        <v>2</v>
      </c>
      <c r="F589" t="s">
        <v>178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172</v>
      </c>
      <c r="E590">
        <v>2</v>
      </c>
      <c r="F590" t="s">
        <v>182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172</v>
      </c>
      <c r="E591">
        <v>2</v>
      </c>
      <c r="F591" t="s">
        <v>182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172</v>
      </c>
      <c r="E592">
        <v>2</v>
      </c>
      <c r="F592" t="s">
        <v>182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172</v>
      </c>
      <c r="E593">
        <v>2</v>
      </c>
      <c r="F593" t="s">
        <v>182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172</v>
      </c>
      <c r="E594">
        <v>2</v>
      </c>
      <c r="F594" t="s">
        <v>182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172</v>
      </c>
      <c r="E595">
        <v>2</v>
      </c>
      <c r="F595" t="s">
        <v>182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172</v>
      </c>
      <c r="E596">
        <v>2</v>
      </c>
      <c r="F596" t="s">
        <v>182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172</v>
      </c>
      <c r="E597">
        <v>2</v>
      </c>
      <c r="F597" t="s">
        <v>181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172</v>
      </c>
      <c r="E598">
        <v>2</v>
      </c>
      <c r="F598" t="s">
        <v>167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172</v>
      </c>
      <c r="E599">
        <v>2</v>
      </c>
      <c r="F599" t="s">
        <v>178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172</v>
      </c>
      <c r="E600">
        <v>2</v>
      </c>
      <c r="F600" t="s">
        <v>168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199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172</v>
      </c>
      <c r="E601">
        <v>2</v>
      </c>
      <c r="F601" t="s">
        <v>168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198</v>
      </c>
      <c r="N601">
        <v>40</v>
      </c>
      <c r="O601">
        <v>39</v>
      </c>
      <c r="T601" t="str">
        <f t="shared" si="64"/>
        <v/>
      </c>
    </row>
    <row r="602" spans="1:20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172</v>
      </c>
      <c r="E602">
        <v>2</v>
      </c>
      <c r="F602" t="s">
        <v>182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172</v>
      </c>
      <c r="E603">
        <v>2</v>
      </c>
      <c r="F603" t="s">
        <v>182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172</v>
      </c>
      <c r="E604">
        <v>2</v>
      </c>
      <c r="F604" t="s">
        <v>182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172</v>
      </c>
      <c r="E605">
        <v>2</v>
      </c>
      <c r="F605" t="s">
        <v>182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172</v>
      </c>
      <c r="E606">
        <v>2</v>
      </c>
      <c r="F606" t="s">
        <v>182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172</v>
      </c>
      <c r="E607">
        <v>2</v>
      </c>
      <c r="F607" t="s">
        <v>182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172</v>
      </c>
      <c r="E608">
        <v>2</v>
      </c>
      <c r="F608" t="s">
        <v>182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172</v>
      </c>
      <c r="E609">
        <v>2</v>
      </c>
      <c r="F609" t="s">
        <v>182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172</v>
      </c>
      <c r="E610">
        <v>2</v>
      </c>
      <c r="F610" t="s">
        <v>182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172</v>
      </c>
      <c r="E611">
        <v>2</v>
      </c>
      <c r="F611" t="s">
        <v>182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172</v>
      </c>
      <c r="E612">
        <v>2</v>
      </c>
      <c r="F612" t="s">
        <v>182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172</v>
      </c>
      <c r="E613">
        <v>2</v>
      </c>
      <c r="F613" t="s">
        <v>182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172</v>
      </c>
      <c r="E614">
        <v>2</v>
      </c>
      <c r="F614" t="s">
        <v>182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172</v>
      </c>
      <c r="E615">
        <v>2</v>
      </c>
      <c r="F615" t="s">
        <v>182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172</v>
      </c>
      <c r="E616">
        <v>2</v>
      </c>
      <c r="F616" t="s">
        <v>182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172</v>
      </c>
      <c r="E617">
        <v>2</v>
      </c>
      <c r="F617" t="s">
        <v>182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172</v>
      </c>
      <c r="E618">
        <v>2</v>
      </c>
      <c r="F618" t="s">
        <v>182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172</v>
      </c>
      <c r="E619">
        <v>2</v>
      </c>
      <c r="F619" t="s">
        <v>182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172</v>
      </c>
      <c r="E620">
        <v>2</v>
      </c>
      <c r="F620" t="s">
        <v>182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172</v>
      </c>
      <c r="E621">
        <v>2</v>
      </c>
      <c r="F621" t="s">
        <v>182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172</v>
      </c>
      <c r="E622">
        <v>2</v>
      </c>
      <c r="F622" t="s">
        <v>182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172</v>
      </c>
      <c r="E623">
        <v>2</v>
      </c>
      <c r="F623" t="s">
        <v>182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172</v>
      </c>
      <c r="E624">
        <v>2</v>
      </c>
      <c r="F624" t="s">
        <v>182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172</v>
      </c>
      <c r="E625">
        <v>2</v>
      </c>
      <c r="F625" t="s">
        <v>182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172</v>
      </c>
      <c r="E626">
        <v>2</v>
      </c>
      <c r="F626" t="s">
        <v>182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172</v>
      </c>
      <c r="E627">
        <v>2</v>
      </c>
      <c r="F627" t="s">
        <v>182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172</v>
      </c>
      <c r="E628">
        <v>2</v>
      </c>
      <c r="F628" t="s">
        <v>182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172</v>
      </c>
      <c r="E629">
        <v>2</v>
      </c>
      <c r="F629" t="s">
        <v>182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172</v>
      </c>
      <c r="E630">
        <v>2</v>
      </c>
      <c r="F630" t="s">
        <v>182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172</v>
      </c>
      <c r="E631">
        <v>2</v>
      </c>
      <c r="F631" t="s">
        <v>182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172</v>
      </c>
      <c r="E632">
        <v>2</v>
      </c>
      <c r="F632" t="s">
        <v>182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172</v>
      </c>
      <c r="E633">
        <v>2</v>
      </c>
      <c r="F633" t="s">
        <v>182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172</v>
      </c>
      <c r="E634">
        <v>2</v>
      </c>
      <c r="F634" t="s">
        <v>182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172</v>
      </c>
      <c r="E635">
        <v>2</v>
      </c>
      <c r="F635" t="s">
        <v>182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172</v>
      </c>
      <c r="E636">
        <v>2</v>
      </c>
      <c r="F636" t="s">
        <v>182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172</v>
      </c>
      <c r="E637">
        <v>2</v>
      </c>
      <c r="F637" t="s">
        <v>182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172</v>
      </c>
      <c r="E638">
        <v>2</v>
      </c>
      <c r="F638" t="s">
        <v>182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172</v>
      </c>
      <c r="E639">
        <v>2</v>
      </c>
      <c r="F639" t="s">
        <v>182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172</v>
      </c>
      <c r="E640">
        <v>2</v>
      </c>
      <c r="F640" t="s">
        <v>182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172</v>
      </c>
      <c r="E641">
        <v>2</v>
      </c>
      <c r="F641" t="s">
        <v>182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172</v>
      </c>
      <c r="E642">
        <v>2</v>
      </c>
      <c r="F642" t="s">
        <v>182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172</v>
      </c>
      <c r="E643">
        <v>2</v>
      </c>
      <c r="F643" t="s">
        <v>182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172</v>
      </c>
      <c r="E644">
        <v>2</v>
      </c>
      <c r="F644" t="s">
        <v>182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172</v>
      </c>
      <c r="E645">
        <v>2</v>
      </c>
      <c r="F645" t="s">
        <v>182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172</v>
      </c>
      <c r="E646">
        <v>2</v>
      </c>
      <c r="F646" t="s">
        <v>182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172</v>
      </c>
      <c r="E647">
        <v>2</v>
      </c>
      <c r="F647" t="s">
        <v>182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172</v>
      </c>
      <c r="E648">
        <v>2</v>
      </c>
      <c r="F648" t="s">
        <v>182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172</v>
      </c>
      <c r="E649">
        <v>2</v>
      </c>
      <c r="F649" t="s">
        <v>182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172</v>
      </c>
      <c r="E650">
        <v>2</v>
      </c>
      <c r="F650" t="s">
        <v>182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172</v>
      </c>
      <c r="E651">
        <v>2</v>
      </c>
      <c r="F651" t="s">
        <v>182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172</v>
      </c>
      <c r="E652">
        <v>2</v>
      </c>
      <c r="F652" t="s">
        <v>182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172</v>
      </c>
      <c r="E653">
        <v>2</v>
      </c>
      <c r="F653" t="s">
        <v>182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172</v>
      </c>
      <c r="E654">
        <v>2</v>
      </c>
      <c r="F654" t="s">
        <v>182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172</v>
      </c>
      <c r="E655">
        <v>2</v>
      </c>
      <c r="F655" t="s">
        <v>182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172</v>
      </c>
      <c r="E656">
        <v>2</v>
      </c>
      <c r="F656" t="s">
        <v>182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172</v>
      </c>
      <c r="E657">
        <v>2</v>
      </c>
      <c r="F657" t="s">
        <v>182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172</v>
      </c>
      <c r="E658">
        <v>2</v>
      </c>
      <c r="F658" t="s">
        <v>182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172</v>
      </c>
      <c r="E659">
        <v>2</v>
      </c>
      <c r="F659" t="s">
        <v>182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172</v>
      </c>
      <c r="E660">
        <v>2</v>
      </c>
      <c r="F660" t="s">
        <v>182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172</v>
      </c>
      <c r="E661">
        <v>2</v>
      </c>
      <c r="F661" t="s">
        <v>182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172</v>
      </c>
      <c r="E662">
        <v>2</v>
      </c>
      <c r="F662" t="s">
        <v>182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172</v>
      </c>
      <c r="E663">
        <v>2</v>
      </c>
      <c r="F663" t="s">
        <v>182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172</v>
      </c>
      <c r="E664">
        <v>2</v>
      </c>
      <c r="F664" t="s">
        <v>182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172</v>
      </c>
      <c r="E665">
        <v>2</v>
      </c>
      <c r="F665" t="s">
        <v>182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172</v>
      </c>
      <c r="E666">
        <v>2</v>
      </c>
      <c r="F666" t="s">
        <v>182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172</v>
      </c>
      <c r="E667">
        <v>2</v>
      </c>
      <c r="F667" t="s">
        <v>182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172</v>
      </c>
      <c r="E668">
        <v>2</v>
      </c>
      <c r="F668" t="s">
        <v>182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172</v>
      </c>
      <c r="E669">
        <v>2</v>
      </c>
      <c r="F669" t="s">
        <v>182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172</v>
      </c>
      <c r="E670">
        <v>2</v>
      </c>
      <c r="F670" t="s">
        <v>182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172</v>
      </c>
      <c r="E671">
        <v>2</v>
      </c>
      <c r="F671" t="s">
        <v>182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172</v>
      </c>
      <c r="E672">
        <v>2</v>
      </c>
      <c r="F672" t="s">
        <v>182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172</v>
      </c>
      <c r="E673">
        <v>2</v>
      </c>
      <c r="F673" t="s">
        <v>182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172</v>
      </c>
      <c r="E674">
        <v>2</v>
      </c>
      <c r="F674" t="s">
        <v>182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172</v>
      </c>
      <c r="E675">
        <v>2</v>
      </c>
      <c r="F675" t="s">
        <v>167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172</v>
      </c>
      <c r="E676">
        <v>2</v>
      </c>
      <c r="F676" t="s">
        <v>167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172</v>
      </c>
      <c r="E677">
        <v>2</v>
      </c>
      <c r="F677" t="s">
        <v>181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166</v>
      </c>
      <c r="E678">
        <v>2</v>
      </c>
      <c r="F678" t="s">
        <v>167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172</v>
      </c>
      <c r="E679">
        <v>1</v>
      </c>
      <c r="F679" t="s">
        <v>182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172</v>
      </c>
      <c r="E680">
        <v>1</v>
      </c>
      <c r="F680" t="s">
        <v>167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172</v>
      </c>
      <c r="E681">
        <v>1</v>
      </c>
      <c r="F681" t="s">
        <v>181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172</v>
      </c>
      <c r="E682">
        <v>1</v>
      </c>
      <c r="F682" t="s">
        <v>181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172</v>
      </c>
      <c r="E683">
        <v>1</v>
      </c>
      <c r="F683" t="s">
        <v>182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172</v>
      </c>
      <c r="E684">
        <v>1</v>
      </c>
      <c r="F684" t="s">
        <v>182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172</v>
      </c>
      <c r="E685">
        <v>1</v>
      </c>
      <c r="F685" t="s">
        <v>182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172</v>
      </c>
      <c r="E686">
        <v>1</v>
      </c>
      <c r="F686" t="s">
        <v>182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172</v>
      </c>
      <c r="E687">
        <v>1</v>
      </c>
      <c r="F687" t="s">
        <v>182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172</v>
      </c>
      <c r="E688">
        <v>1</v>
      </c>
      <c r="F688" t="s">
        <v>182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172</v>
      </c>
      <c r="E689">
        <v>1</v>
      </c>
      <c r="F689" t="s">
        <v>182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172</v>
      </c>
      <c r="E690">
        <v>1</v>
      </c>
      <c r="F690" t="s">
        <v>182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172</v>
      </c>
      <c r="E691">
        <v>1</v>
      </c>
      <c r="F691" t="s">
        <v>182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172</v>
      </c>
      <c r="E692">
        <v>1</v>
      </c>
      <c r="F692" t="s">
        <v>182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172</v>
      </c>
      <c r="E693">
        <v>1</v>
      </c>
      <c r="F693" t="s">
        <v>182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172</v>
      </c>
      <c r="E694">
        <v>1</v>
      </c>
      <c r="F694" t="s">
        <v>182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172</v>
      </c>
      <c r="E695">
        <v>1</v>
      </c>
      <c r="F695" t="s">
        <v>182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172</v>
      </c>
      <c r="E696">
        <v>1</v>
      </c>
      <c r="F696" t="s">
        <v>167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172</v>
      </c>
      <c r="E697">
        <v>1</v>
      </c>
      <c r="F697" t="s">
        <v>167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172</v>
      </c>
      <c r="E698">
        <v>1</v>
      </c>
      <c r="F698" t="s">
        <v>167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172</v>
      </c>
      <c r="E699">
        <v>1</v>
      </c>
      <c r="F699" t="s">
        <v>181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166</v>
      </c>
      <c r="E700">
        <v>2</v>
      </c>
      <c r="F700" t="s">
        <v>167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166</v>
      </c>
      <c r="E701">
        <v>2</v>
      </c>
      <c r="F701" t="s">
        <v>168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198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172</v>
      </c>
      <c r="E702">
        <v>2</v>
      </c>
      <c r="F702" t="s">
        <v>168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199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172</v>
      </c>
      <c r="E703">
        <v>2</v>
      </c>
      <c r="F703" t="s">
        <v>168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198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172</v>
      </c>
      <c r="E704">
        <v>2</v>
      </c>
      <c r="F704" t="s">
        <v>168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199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172</v>
      </c>
      <c r="E705">
        <v>2</v>
      </c>
      <c r="F705" t="s">
        <v>168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198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172</v>
      </c>
      <c r="E706">
        <v>2</v>
      </c>
      <c r="F706" t="s">
        <v>168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198</v>
      </c>
      <c r="N706">
        <v>24.46</v>
      </c>
      <c r="O706">
        <v>6</v>
      </c>
      <c r="T706" t="str">
        <f t="shared" si="78"/>
        <v/>
      </c>
    </row>
    <row r="707" spans="1:20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172</v>
      </c>
      <c r="E707">
        <v>2</v>
      </c>
      <c r="F707" t="s">
        <v>182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172</v>
      </c>
      <c r="E708">
        <v>2</v>
      </c>
      <c r="F708" t="s">
        <v>182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172</v>
      </c>
      <c r="E709">
        <v>2</v>
      </c>
      <c r="F709" t="s">
        <v>182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172</v>
      </c>
      <c r="E710">
        <v>2</v>
      </c>
      <c r="F710" t="s">
        <v>182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172</v>
      </c>
      <c r="E711">
        <v>2</v>
      </c>
      <c r="F711" t="s">
        <v>182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172</v>
      </c>
      <c r="E712">
        <v>2</v>
      </c>
      <c r="F712" t="s">
        <v>182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172</v>
      </c>
      <c r="E713">
        <v>2</v>
      </c>
      <c r="F713" t="s">
        <v>182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172</v>
      </c>
      <c r="E714">
        <v>2</v>
      </c>
      <c r="F714" t="s">
        <v>182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172</v>
      </c>
      <c r="E715">
        <v>2</v>
      </c>
      <c r="F715" t="s">
        <v>182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172</v>
      </c>
      <c r="E716">
        <v>2</v>
      </c>
      <c r="F716" t="s">
        <v>182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172</v>
      </c>
      <c r="E717">
        <v>2</v>
      </c>
      <c r="F717" t="s">
        <v>182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172</v>
      </c>
      <c r="E718">
        <v>2</v>
      </c>
      <c r="F718" t="s">
        <v>182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172</v>
      </c>
      <c r="E719">
        <v>2</v>
      </c>
      <c r="F719" t="s">
        <v>182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172</v>
      </c>
      <c r="E720">
        <v>2</v>
      </c>
      <c r="F720" t="s">
        <v>182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172</v>
      </c>
      <c r="E721">
        <v>2</v>
      </c>
      <c r="F721" t="s">
        <v>182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172</v>
      </c>
      <c r="E722">
        <v>2</v>
      </c>
      <c r="F722" t="s">
        <v>182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172</v>
      </c>
      <c r="E723">
        <v>2</v>
      </c>
      <c r="F723" t="s">
        <v>182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172</v>
      </c>
      <c r="E724">
        <v>2</v>
      </c>
      <c r="F724" t="s">
        <v>182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172</v>
      </c>
      <c r="E725">
        <v>2</v>
      </c>
      <c r="F725" t="s">
        <v>181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172</v>
      </c>
      <c r="E726">
        <v>2</v>
      </c>
      <c r="F726" t="s">
        <v>167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172</v>
      </c>
      <c r="E727">
        <v>2</v>
      </c>
      <c r="F727" t="s">
        <v>182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172</v>
      </c>
      <c r="E728">
        <v>2</v>
      </c>
      <c r="F728" t="s">
        <v>182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172</v>
      </c>
      <c r="E729">
        <v>2</v>
      </c>
      <c r="F729" t="s">
        <v>182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172</v>
      </c>
      <c r="E730">
        <v>2</v>
      </c>
      <c r="F730" t="s">
        <v>182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172</v>
      </c>
      <c r="E731">
        <v>2</v>
      </c>
      <c r="F731" t="s">
        <v>182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172</v>
      </c>
      <c r="E732">
        <v>2</v>
      </c>
      <c r="F732" t="s">
        <v>182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172</v>
      </c>
      <c r="E733">
        <v>2</v>
      </c>
      <c r="F733" t="s">
        <v>182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172</v>
      </c>
      <c r="E734">
        <v>2</v>
      </c>
      <c r="F734" t="s">
        <v>182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172</v>
      </c>
      <c r="E735">
        <v>2</v>
      </c>
      <c r="F735" t="s">
        <v>182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172</v>
      </c>
      <c r="E736">
        <v>2</v>
      </c>
      <c r="F736" t="s">
        <v>182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172</v>
      </c>
      <c r="E737">
        <v>2</v>
      </c>
      <c r="F737" t="s">
        <v>182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172</v>
      </c>
      <c r="E738">
        <v>2</v>
      </c>
      <c r="F738" t="s">
        <v>182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172</v>
      </c>
      <c r="E739">
        <v>2</v>
      </c>
      <c r="F739" t="s">
        <v>182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172</v>
      </c>
      <c r="E740">
        <v>2</v>
      </c>
      <c r="F740" t="s">
        <v>182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172</v>
      </c>
      <c r="E741">
        <v>2</v>
      </c>
      <c r="F741" t="s">
        <v>182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172</v>
      </c>
      <c r="E742">
        <v>2</v>
      </c>
      <c r="F742" t="s">
        <v>182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172</v>
      </c>
      <c r="E743">
        <v>2</v>
      </c>
      <c r="F743" t="s">
        <v>182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172</v>
      </c>
      <c r="E744">
        <v>2</v>
      </c>
      <c r="F744" t="s">
        <v>182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172</v>
      </c>
      <c r="E745">
        <v>2</v>
      </c>
      <c r="F745" t="s">
        <v>182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172</v>
      </c>
      <c r="E746">
        <v>2</v>
      </c>
      <c r="F746" t="s">
        <v>182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172</v>
      </c>
      <c r="E747">
        <v>2</v>
      </c>
      <c r="F747" t="s">
        <v>182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172</v>
      </c>
      <c r="E748">
        <v>2</v>
      </c>
      <c r="F748" t="s">
        <v>182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172</v>
      </c>
      <c r="E749">
        <v>2</v>
      </c>
      <c r="F749" t="s">
        <v>182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172</v>
      </c>
      <c r="E750">
        <v>2</v>
      </c>
      <c r="F750" t="s">
        <v>182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172</v>
      </c>
      <c r="E751">
        <v>2</v>
      </c>
      <c r="F751" t="s">
        <v>182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172</v>
      </c>
      <c r="E752">
        <v>2</v>
      </c>
      <c r="F752" t="s">
        <v>182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172</v>
      </c>
      <c r="E753">
        <v>2</v>
      </c>
      <c r="F753" t="s">
        <v>168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199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172</v>
      </c>
      <c r="E754">
        <v>2</v>
      </c>
      <c r="F754" t="s">
        <v>168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199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172</v>
      </c>
      <c r="E755">
        <v>2</v>
      </c>
      <c r="F755" t="s">
        <v>168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198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172</v>
      </c>
      <c r="E756">
        <v>2</v>
      </c>
      <c r="F756" t="s">
        <v>168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198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172</v>
      </c>
      <c r="E757">
        <v>2</v>
      </c>
      <c r="F757" t="s">
        <v>168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199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172</v>
      </c>
      <c r="E758">
        <v>2</v>
      </c>
      <c r="F758" t="s">
        <v>168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199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172</v>
      </c>
      <c r="E759">
        <v>2</v>
      </c>
      <c r="F759" t="s">
        <v>168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198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172</v>
      </c>
      <c r="E760">
        <v>2</v>
      </c>
      <c r="F760" t="s">
        <v>168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198</v>
      </c>
      <c r="N760">
        <v>21</v>
      </c>
      <c r="O760">
        <v>9</v>
      </c>
      <c r="T760" t="str">
        <f t="shared" si="85"/>
        <v/>
      </c>
    </row>
    <row r="761" spans="1:2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172</v>
      </c>
      <c r="E761">
        <v>2</v>
      </c>
      <c r="F761" t="s">
        <v>181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203</v>
      </c>
    </row>
    <row r="762" spans="1:2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172</v>
      </c>
      <c r="E762">
        <v>2</v>
      </c>
      <c r="F762" t="s">
        <v>167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166</v>
      </c>
      <c r="E763">
        <v>2</v>
      </c>
      <c r="F763" t="s">
        <v>167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166</v>
      </c>
      <c r="E764">
        <v>2</v>
      </c>
      <c r="F764" t="s">
        <v>168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198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172</v>
      </c>
      <c r="E765">
        <v>2</v>
      </c>
      <c r="F765" t="s">
        <v>168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198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172</v>
      </c>
      <c r="E766">
        <v>2</v>
      </c>
      <c r="F766" t="s">
        <v>168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199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172</v>
      </c>
      <c r="E767">
        <v>2</v>
      </c>
      <c r="F767" t="s">
        <v>168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199</v>
      </c>
      <c r="N767">
        <v>14</v>
      </c>
      <c r="O767">
        <v>2</v>
      </c>
      <c r="T767" t="str">
        <f t="shared" si="85"/>
        <v/>
      </c>
    </row>
    <row r="768" spans="1:2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172</v>
      </c>
      <c r="E768">
        <v>2</v>
      </c>
      <c r="F768" t="s">
        <v>182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172</v>
      </c>
      <c r="E769">
        <v>2</v>
      </c>
      <c r="F769" t="s">
        <v>182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172</v>
      </c>
      <c r="E770">
        <v>2</v>
      </c>
      <c r="F770" t="s">
        <v>182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172</v>
      </c>
      <c r="E771">
        <v>2</v>
      </c>
      <c r="F771" t="s">
        <v>182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172</v>
      </c>
      <c r="E772">
        <v>2</v>
      </c>
      <c r="F772" t="s">
        <v>182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172</v>
      </c>
      <c r="E773">
        <v>2</v>
      </c>
      <c r="F773" t="s">
        <v>182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172</v>
      </c>
      <c r="E774">
        <v>2</v>
      </c>
      <c r="F774" t="s">
        <v>182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172</v>
      </c>
      <c r="E775">
        <v>2</v>
      </c>
      <c r="F775" t="s">
        <v>182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172</v>
      </c>
      <c r="E776">
        <v>2</v>
      </c>
      <c r="F776" t="s">
        <v>182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172</v>
      </c>
      <c r="E777">
        <v>2</v>
      </c>
      <c r="F777" t="s">
        <v>182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172</v>
      </c>
      <c r="E778">
        <v>2</v>
      </c>
      <c r="F778" t="s">
        <v>182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172</v>
      </c>
      <c r="E779">
        <v>2</v>
      </c>
      <c r="F779" t="s">
        <v>182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172</v>
      </c>
      <c r="E780">
        <v>2</v>
      </c>
      <c r="F780" t="s">
        <v>181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172</v>
      </c>
      <c r="E781">
        <v>2</v>
      </c>
      <c r="F781" t="s">
        <v>167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172</v>
      </c>
      <c r="E782">
        <v>2</v>
      </c>
      <c r="F782" t="s">
        <v>173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172</v>
      </c>
      <c r="E783">
        <v>2</v>
      </c>
      <c r="F783" t="s">
        <v>182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172</v>
      </c>
      <c r="E784">
        <v>2</v>
      </c>
      <c r="F784" t="s">
        <v>182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172</v>
      </c>
      <c r="E785">
        <v>2</v>
      </c>
      <c r="F785" t="s">
        <v>182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172</v>
      </c>
      <c r="E786">
        <v>2</v>
      </c>
      <c r="F786" t="s">
        <v>182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172</v>
      </c>
      <c r="E787">
        <v>2</v>
      </c>
      <c r="F787" t="s">
        <v>182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172</v>
      </c>
      <c r="E788">
        <v>2</v>
      </c>
      <c r="F788" t="s">
        <v>182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172</v>
      </c>
      <c r="E789">
        <v>2</v>
      </c>
      <c r="F789" t="s">
        <v>182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172</v>
      </c>
      <c r="E790">
        <v>2</v>
      </c>
      <c r="F790" t="s">
        <v>182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172</v>
      </c>
      <c r="E791">
        <v>2</v>
      </c>
      <c r="F791" t="s">
        <v>182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172</v>
      </c>
      <c r="E792">
        <v>2</v>
      </c>
      <c r="F792" t="s">
        <v>182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172</v>
      </c>
      <c r="E793">
        <v>2</v>
      </c>
      <c r="F793" t="s">
        <v>182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172</v>
      </c>
      <c r="E794">
        <v>2</v>
      </c>
      <c r="F794" t="s">
        <v>182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172</v>
      </c>
      <c r="E795">
        <v>2</v>
      </c>
      <c r="F795" t="s">
        <v>182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172</v>
      </c>
      <c r="E796">
        <v>2</v>
      </c>
      <c r="F796" t="s">
        <v>182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172</v>
      </c>
      <c r="E797">
        <v>2</v>
      </c>
      <c r="F797" t="s">
        <v>182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172</v>
      </c>
      <c r="E798">
        <v>2</v>
      </c>
      <c r="F798" t="s">
        <v>182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172</v>
      </c>
      <c r="E799">
        <v>2</v>
      </c>
      <c r="F799" t="s">
        <v>182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172</v>
      </c>
      <c r="E800">
        <v>2</v>
      </c>
      <c r="F800" t="s">
        <v>182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172</v>
      </c>
      <c r="E801">
        <v>2</v>
      </c>
      <c r="F801" t="s">
        <v>168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199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172</v>
      </c>
      <c r="E802">
        <v>2</v>
      </c>
      <c r="F802" t="s">
        <v>168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198</v>
      </c>
      <c r="N802">
        <v>25</v>
      </c>
      <c r="O802">
        <v>13</v>
      </c>
      <c r="T802" t="str">
        <f t="shared" si="85"/>
        <v/>
      </c>
    </row>
    <row r="803" spans="1:2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172</v>
      </c>
      <c r="E803">
        <v>2</v>
      </c>
      <c r="F803" t="s">
        <v>181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172</v>
      </c>
      <c r="E804">
        <v>2</v>
      </c>
      <c r="F804" t="s">
        <v>167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166</v>
      </c>
      <c r="E805">
        <v>2</v>
      </c>
      <c r="F805" t="s">
        <v>167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166</v>
      </c>
      <c r="E806">
        <v>2</v>
      </c>
      <c r="F806" t="s">
        <v>182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172</v>
      </c>
      <c r="E807">
        <v>2</v>
      </c>
      <c r="F807" t="s">
        <v>182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205</v>
      </c>
    </row>
    <row r="808" spans="1:2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172</v>
      </c>
      <c r="E808">
        <v>2</v>
      </c>
      <c r="F808" t="s">
        <v>181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205</v>
      </c>
    </row>
    <row r="809" spans="1:2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172</v>
      </c>
      <c r="E809">
        <v>2</v>
      </c>
      <c r="F809" t="s">
        <v>167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205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172</v>
      </c>
      <c r="E810">
        <v>2</v>
      </c>
      <c r="F810" t="s">
        <v>168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199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172</v>
      </c>
      <c r="E811">
        <v>2</v>
      </c>
      <c r="F811" t="s">
        <v>168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199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172</v>
      </c>
      <c r="E812">
        <v>2</v>
      </c>
      <c r="F812" t="s">
        <v>168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199</v>
      </c>
      <c r="N812">
        <v>21</v>
      </c>
      <c r="O812">
        <v>5</v>
      </c>
      <c r="P812">
        <v>1</v>
      </c>
      <c r="T812" t="str">
        <f t="shared" si="85"/>
        <v/>
      </c>
      <c r="U812" t="s">
        <v>203</v>
      </c>
    </row>
    <row r="813" spans="1:2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172</v>
      </c>
      <c r="E813">
        <v>2</v>
      </c>
      <c r="F813" t="s">
        <v>182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172</v>
      </c>
      <c r="E814">
        <v>2</v>
      </c>
      <c r="F814" t="s">
        <v>181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172</v>
      </c>
      <c r="E815">
        <v>2</v>
      </c>
      <c r="F815" t="s">
        <v>167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172</v>
      </c>
      <c r="E816">
        <v>2</v>
      </c>
      <c r="F816" t="s">
        <v>168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198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166</v>
      </c>
      <c r="E817">
        <v>2</v>
      </c>
      <c r="F817" t="s">
        <v>168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199</v>
      </c>
      <c r="N817">
        <v>18</v>
      </c>
      <c r="O817">
        <v>4</v>
      </c>
      <c r="T817" t="str">
        <f t="shared" si="85"/>
        <v/>
      </c>
    </row>
    <row r="818" spans="1:20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166</v>
      </c>
      <c r="E818">
        <v>2</v>
      </c>
      <c r="F818" t="s">
        <v>167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172</v>
      </c>
      <c r="E819">
        <v>2</v>
      </c>
      <c r="F819" t="s">
        <v>178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172</v>
      </c>
      <c r="E820">
        <v>2</v>
      </c>
      <c r="F820" t="s">
        <v>182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172</v>
      </c>
      <c r="E821">
        <v>2</v>
      </c>
      <c r="F821" t="s">
        <v>174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172</v>
      </c>
      <c r="E822">
        <v>2</v>
      </c>
      <c r="F822" t="s">
        <v>181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172</v>
      </c>
      <c r="E823">
        <v>2</v>
      </c>
      <c r="F823" t="s">
        <v>167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172</v>
      </c>
      <c r="E824">
        <v>2</v>
      </c>
      <c r="F824" t="s">
        <v>182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172</v>
      </c>
      <c r="E825">
        <v>2</v>
      </c>
      <c r="F825" t="s">
        <v>168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198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172</v>
      </c>
      <c r="E826">
        <v>2</v>
      </c>
      <c r="F826" t="s">
        <v>168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199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172</v>
      </c>
      <c r="E827">
        <v>2</v>
      </c>
      <c r="F827" t="s">
        <v>168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199</v>
      </c>
      <c r="N827">
        <v>30</v>
      </c>
      <c r="O827">
        <v>27</v>
      </c>
      <c r="T827" t="str">
        <f t="shared" si="94"/>
        <v/>
      </c>
    </row>
    <row r="828" spans="1:20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172</v>
      </c>
      <c r="E828">
        <v>2</v>
      </c>
      <c r="F828" t="s">
        <v>181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172</v>
      </c>
      <c r="E829">
        <v>2</v>
      </c>
      <c r="F829" t="s">
        <v>181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166</v>
      </c>
      <c r="E830">
        <v>2</v>
      </c>
      <c r="F830" t="s">
        <v>167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172</v>
      </c>
      <c r="E831">
        <v>2</v>
      </c>
      <c r="F831" t="s">
        <v>178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172</v>
      </c>
      <c r="E832">
        <v>2</v>
      </c>
      <c r="F832" t="s">
        <v>168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199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172</v>
      </c>
      <c r="E833">
        <v>2</v>
      </c>
      <c r="F833" t="s">
        <v>168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199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172</v>
      </c>
      <c r="E834">
        <v>2</v>
      </c>
      <c r="F834" t="s">
        <v>168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199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172</v>
      </c>
      <c r="E835">
        <v>2</v>
      </c>
      <c r="F835" t="s">
        <v>168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199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172</v>
      </c>
      <c r="E836">
        <v>2</v>
      </c>
      <c r="F836" t="s">
        <v>168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198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172</v>
      </c>
      <c r="E837">
        <v>2</v>
      </c>
      <c r="F837" t="s">
        <v>168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199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172</v>
      </c>
      <c r="E838">
        <v>2</v>
      </c>
      <c r="F838" t="s">
        <v>168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199</v>
      </c>
      <c r="N838">
        <v>29</v>
      </c>
      <c r="O838">
        <v>22</v>
      </c>
      <c r="T838" t="str">
        <f t="shared" si="94"/>
        <v/>
      </c>
    </row>
    <row r="839" spans="1:20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172</v>
      </c>
      <c r="E839">
        <v>2</v>
      </c>
      <c r="F839" t="s">
        <v>182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172</v>
      </c>
      <c r="E840">
        <v>2</v>
      </c>
      <c r="F840" t="s">
        <v>181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172</v>
      </c>
      <c r="E841">
        <v>2</v>
      </c>
      <c r="F841" t="s">
        <v>167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172</v>
      </c>
      <c r="E842">
        <v>2</v>
      </c>
      <c r="F842" t="s">
        <v>167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166</v>
      </c>
      <c r="E843">
        <v>2</v>
      </c>
      <c r="F843" t="s">
        <v>167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172</v>
      </c>
      <c r="E844">
        <v>2</v>
      </c>
      <c r="F844" t="s">
        <v>178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172</v>
      </c>
      <c r="E845">
        <v>2</v>
      </c>
      <c r="F845" t="s">
        <v>178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172</v>
      </c>
      <c r="E846">
        <v>2</v>
      </c>
      <c r="F846" t="s">
        <v>178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172</v>
      </c>
      <c r="E847">
        <v>2</v>
      </c>
      <c r="F847" t="s">
        <v>178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172</v>
      </c>
      <c r="E848">
        <v>2</v>
      </c>
      <c r="F848" t="s">
        <v>178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172</v>
      </c>
      <c r="E849">
        <v>2</v>
      </c>
      <c r="F849" t="s">
        <v>178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172</v>
      </c>
      <c r="E850">
        <v>2</v>
      </c>
      <c r="F850" t="s">
        <v>178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172</v>
      </c>
      <c r="E851">
        <v>2</v>
      </c>
      <c r="F851" t="s">
        <v>178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172</v>
      </c>
      <c r="E852">
        <v>2</v>
      </c>
      <c r="F852" t="s">
        <v>178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172</v>
      </c>
      <c r="E853">
        <v>2</v>
      </c>
      <c r="F853" t="s">
        <v>178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172</v>
      </c>
      <c r="E854">
        <v>2</v>
      </c>
      <c r="F854" t="s">
        <v>178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172</v>
      </c>
      <c r="E855">
        <v>2</v>
      </c>
      <c r="F855" t="s">
        <v>178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172</v>
      </c>
      <c r="E856">
        <v>2</v>
      </c>
      <c r="F856" t="s">
        <v>178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172</v>
      </c>
      <c r="E857">
        <v>2</v>
      </c>
      <c r="F857" t="s">
        <v>178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172</v>
      </c>
      <c r="E858">
        <v>2</v>
      </c>
      <c r="F858" t="s">
        <v>178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172</v>
      </c>
      <c r="E859">
        <v>2</v>
      </c>
      <c r="F859" t="s">
        <v>168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198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172</v>
      </c>
      <c r="E860">
        <v>2</v>
      </c>
      <c r="F860" t="s">
        <v>168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199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172</v>
      </c>
      <c r="E861">
        <v>2</v>
      </c>
      <c r="F861" t="s">
        <v>168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199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172</v>
      </c>
      <c r="E862">
        <v>2</v>
      </c>
      <c r="F862" t="s">
        <v>168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199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172</v>
      </c>
      <c r="E863">
        <v>2</v>
      </c>
      <c r="F863" t="s">
        <v>168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199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172</v>
      </c>
      <c r="E864">
        <v>2</v>
      </c>
      <c r="F864" t="s">
        <v>168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199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172</v>
      </c>
      <c r="E865">
        <v>2</v>
      </c>
      <c r="F865" t="s">
        <v>168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198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172</v>
      </c>
      <c r="E866">
        <v>2</v>
      </c>
      <c r="F866" t="s">
        <v>168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199</v>
      </c>
      <c r="N866">
        <v>21</v>
      </c>
      <c r="O866">
        <v>10</v>
      </c>
      <c r="T866" t="str">
        <f t="shared" si="94"/>
        <v/>
      </c>
    </row>
    <row r="867" spans="1:20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172</v>
      </c>
      <c r="E867">
        <v>2</v>
      </c>
      <c r="F867" t="s">
        <v>181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172</v>
      </c>
      <c r="E868">
        <v>2</v>
      </c>
      <c r="F868" t="s">
        <v>182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172</v>
      </c>
      <c r="E869">
        <v>2</v>
      </c>
      <c r="F869" t="s">
        <v>167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172</v>
      </c>
      <c r="E870">
        <v>2</v>
      </c>
      <c r="F870" t="s">
        <v>167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172</v>
      </c>
      <c r="E871">
        <v>2</v>
      </c>
      <c r="F871" t="s">
        <v>182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172</v>
      </c>
      <c r="E872">
        <v>2</v>
      </c>
      <c r="F872" t="s">
        <v>182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172</v>
      </c>
      <c r="E873">
        <v>2</v>
      </c>
      <c r="F873" t="s">
        <v>167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166</v>
      </c>
      <c r="E874">
        <v>2</v>
      </c>
      <c r="F874" t="s">
        <v>168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198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166</v>
      </c>
      <c r="E875">
        <v>2</v>
      </c>
      <c r="F875" t="s">
        <v>168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199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166</v>
      </c>
      <c r="E876">
        <v>2</v>
      </c>
      <c r="F876" t="s">
        <v>168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199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166</v>
      </c>
      <c r="E877">
        <v>2</v>
      </c>
      <c r="F877" t="s">
        <v>168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199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166</v>
      </c>
      <c r="E878">
        <v>2</v>
      </c>
      <c r="F878" t="s">
        <v>168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199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166</v>
      </c>
      <c r="E879">
        <v>2</v>
      </c>
      <c r="F879" t="s">
        <v>168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198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166</v>
      </c>
      <c r="E880">
        <v>2</v>
      </c>
      <c r="F880" t="s">
        <v>168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198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166</v>
      </c>
      <c r="E881">
        <v>2</v>
      </c>
      <c r="F881" t="s">
        <v>168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198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166</v>
      </c>
      <c r="E882">
        <v>2</v>
      </c>
      <c r="F882" t="s">
        <v>167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172</v>
      </c>
      <c r="E883">
        <v>2</v>
      </c>
      <c r="F883" t="s">
        <v>178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172</v>
      </c>
      <c r="E884">
        <v>2</v>
      </c>
      <c r="F884" t="s">
        <v>178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172</v>
      </c>
      <c r="E885">
        <v>2</v>
      </c>
      <c r="F885" t="s">
        <v>178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172</v>
      </c>
      <c r="E886">
        <v>2</v>
      </c>
      <c r="F886" t="s">
        <v>168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198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172</v>
      </c>
      <c r="E887">
        <v>2</v>
      </c>
      <c r="F887" t="s">
        <v>168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199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172</v>
      </c>
      <c r="E888">
        <v>2</v>
      </c>
      <c r="F888" t="s">
        <v>168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199</v>
      </c>
      <c r="N888">
        <v>20</v>
      </c>
      <c r="O888">
        <v>8</v>
      </c>
      <c r="T888" t="str">
        <f t="shared" si="101"/>
        <v/>
      </c>
    </row>
    <row r="889" spans="1:20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172</v>
      </c>
      <c r="E889">
        <v>2</v>
      </c>
      <c r="F889" t="s">
        <v>181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172</v>
      </c>
      <c r="E890">
        <v>2</v>
      </c>
      <c r="F890" t="s">
        <v>182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172</v>
      </c>
      <c r="E891">
        <v>2</v>
      </c>
      <c r="F891" t="s">
        <v>182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172</v>
      </c>
      <c r="E892">
        <v>2</v>
      </c>
      <c r="F892" t="s">
        <v>167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172</v>
      </c>
      <c r="E893">
        <v>2</v>
      </c>
      <c r="F893" t="s">
        <v>167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172</v>
      </c>
      <c r="E894">
        <v>2</v>
      </c>
      <c r="F894" t="s">
        <v>174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172</v>
      </c>
      <c r="E895">
        <v>2</v>
      </c>
      <c r="F895" t="s">
        <v>174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172</v>
      </c>
      <c r="E896">
        <v>2</v>
      </c>
      <c r="F896" t="s">
        <v>174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172</v>
      </c>
      <c r="E897">
        <v>2</v>
      </c>
      <c r="F897" t="s">
        <v>174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172</v>
      </c>
      <c r="E898">
        <v>2</v>
      </c>
      <c r="F898" t="s">
        <v>174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166</v>
      </c>
      <c r="E899">
        <v>2</v>
      </c>
      <c r="F899" t="s">
        <v>168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199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166</v>
      </c>
      <c r="E900">
        <v>2</v>
      </c>
      <c r="F900" t="s">
        <v>168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199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166</v>
      </c>
      <c r="E901">
        <v>2</v>
      </c>
      <c r="F901" t="s">
        <v>168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199</v>
      </c>
      <c r="N901">
        <v>29</v>
      </c>
      <c r="O901">
        <v>24</v>
      </c>
      <c r="T901" t="str">
        <f t="shared" si="101"/>
        <v/>
      </c>
    </row>
    <row r="902" spans="1:2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166</v>
      </c>
      <c r="E902">
        <v>2</v>
      </c>
      <c r="F902" t="s">
        <v>167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172</v>
      </c>
      <c r="E903">
        <v>2</v>
      </c>
      <c r="F903" t="s">
        <v>168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199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172</v>
      </c>
      <c r="E904">
        <v>2</v>
      </c>
      <c r="F904" t="s">
        <v>168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206</v>
      </c>
    </row>
    <row r="905" spans="1:2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172</v>
      </c>
      <c r="E905">
        <v>2</v>
      </c>
      <c r="F905" t="s">
        <v>182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172</v>
      </c>
      <c r="E906">
        <v>2</v>
      </c>
      <c r="F906" t="s">
        <v>182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172</v>
      </c>
      <c r="E907">
        <v>2</v>
      </c>
      <c r="F907" t="s">
        <v>182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172</v>
      </c>
      <c r="E908">
        <v>2</v>
      </c>
      <c r="F908" t="s">
        <v>181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172</v>
      </c>
      <c r="E909">
        <v>2</v>
      </c>
      <c r="F909" t="s">
        <v>167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172</v>
      </c>
      <c r="E910">
        <v>2</v>
      </c>
      <c r="F910" t="s">
        <v>178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172</v>
      </c>
      <c r="E911">
        <v>2</v>
      </c>
      <c r="F911" t="s">
        <v>178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172</v>
      </c>
      <c r="E912">
        <v>2</v>
      </c>
      <c r="F912" t="s">
        <v>178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172</v>
      </c>
      <c r="E913">
        <v>2</v>
      </c>
      <c r="F913" t="s">
        <v>178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172</v>
      </c>
      <c r="E914">
        <v>2</v>
      </c>
      <c r="F914" t="s">
        <v>174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172</v>
      </c>
      <c r="E915">
        <v>2</v>
      </c>
      <c r="F915" t="s">
        <v>174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172</v>
      </c>
      <c r="E916">
        <v>2</v>
      </c>
      <c r="F916" t="s">
        <v>174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172</v>
      </c>
      <c r="E917">
        <v>2</v>
      </c>
      <c r="F917" t="s">
        <v>174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172</v>
      </c>
      <c r="E918">
        <v>2</v>
      </c>
      <c r="F918" t="s">
        <v>174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172</v>
      </c>
      <c r="E919">
        <v>2</v>
      </c>
      <c r="F919" t="s">
        <v>174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172</v>
      </c>
      <c r="E920">
        <v>2</v>
      </c>
      <c r="F920" t="s">
        <v>174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166</v>
      </c>
      <c r="E921">
        <v>2</v>
      </c>
      <c r="F921" t="s">
        <v>168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199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166</v>
      </c>
      <c r="E922">
        <v>2</v>
      </c>
      <c r="F922" t="s">
        <v>168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199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166</v>
      </c>
      <c r="E923">
        <v>2</v>
      </c>
      <c r="F923" t="s">
        <v>168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198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166</v>
      </c>
      <c r="E924">
        <v>2</v>
      </c>
      <c r="F924" t="s">
        <v>168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199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166</v>
      </c>
      <c r="E925">
        <v>2</v>
      </c>
      <c r="F925" t="s">
        <v>168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199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166</v>
      </c>
      <c r="E926">
        <v>2</v>
      </c>
      <c r="F926" t="s">
        <v>168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199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166</v>
      </c>
      <c r="E927">
        <v>2</v>
      </c>
      <c r="F927" t="s">
        <v>168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198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166</v>
      </c>
      <c r="E928">
        <v>2</v>
      </c>
      <c r="F928" t="s">
        <v>168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198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166</v>
      </c>
      <c r="E929">
        <v>2</v>
      </c>
      <c r="F929" t="s">
        <v>168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198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166</v>
      </c>
      <c r="E930">
        <v>2</v>
      </c>
      <c r="F930" t="s">
        <v>168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199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166</v>
      </c>
      <c r="E931">
        <v>2</v>
      </c>
      <c r="F931" t="s">
        <v>168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198</v>
      </c>
      <c r="N931">
        <v>31</v>
      </c>
      <c r="O931">
        <v>24</v>
      </c>
      <c r="T931" t="str">
        <f t="shared" si="101"/>
        <v/>
      </c>
    </row>
    <row r="932" spans="1:20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166</v>
      </c>
      <c r="E932">
        <v>2</v>
      </c>
      <c r="F932" t="s">
        <v>167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172</v>
      </c>
      <c r="E933">
        <v>2</v>
      </c>
      <c r="F933" t="s">
        <v>178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172</v>
      </c>
      <c r="E934">
        <v>2</v>
      </c>
      <c r="F934" t="s">
        <v>182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172</v>
      </c>
      <c r="E935">
        <v>2</v>
      </c>
      <c r="F935" t="s">
        <v>174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172</v>
      </c>
      <c r="E936">
        <v>2</v>
      </c>
      <c r="F936" t="s">
        <v>168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198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172</v>
      </c>
      <c r="E937">
        <v>2</v>
      </c>
      <c r="F937" t="s">
        <v>168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198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172</v>
      </c>
      <c r="E938">
        <v>2</v>
      </c>
      <c r="F938" t="s">
        <v>168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199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172</v>
      </c>
      <c r="E939">
        <v>2</v>
      </c>
      <c r="F939" t="s">
        <v>168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199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172</v>
      </c>
      <c r="E940">
        <v>2</v>
      </c>
      <c r="F940" t="s">
        <v>168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198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172</v>
      </c>
      <c r="E941">
        <v>2</v>
      </c>
      <c r="F941" t="s">
        <v>168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198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172</v>
      </c>
      <c r="E942">
        <v>2</v>
      </c>
      <c r="F942" t="s">
        <v>168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199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172</v>
      </c>
      <c r="E943">
        <v>2</v>
      </c>
      <c r="F943" t="s">
        <v>168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198</v>
      </c>
      <c r="N943">
        <v>25</v>
      </c>
      <c r="O943">
        <v>13</v>
      </c>
      <c r="T943" t="str">
        <f t="shared" si="101"/>
        <v/>
      </c>
    </row>
    <row r="944" spans="1:20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172</v>
      </c>
      <c r="E944">
        <v>2</v>
      </c>
      <c r="F944" t="s">
        <v>181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172</v>
      </c>
      <c r="E945">
        <v>2</v>
      </c>
      <c r="F945" t="s">
        <v>167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172</v>
      </c>
      <c r="E946">
        <v>2</v>
      </c>
      <c r="F946" t="s">
        <v>178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172</v>
      </c>
      <c r="E947">
        <v>2</v>
      </c>
      <c r="F947" t="s">
        <v>182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172</v>
      </c>
      <c r="E948">
        <v>2</v>
      </c>
      <c r="F948" t="s">
        <v>168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198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172</v>
      </c>
      <c r="E949">
        <v>2</v>
      </c>
      <c r="F949" t="s">
        <v>168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198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172</v>
      </c>
      <c r="E950">
        <v>2</v>
      </c>
      <c r="F950" t="s">
        <v>168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198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172</v>
      </c>
      <c r="E951">
        <v>2</v>
      </c>
      <c r="F951" t="s">
        <v>168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199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172</v>
      </c>
      <c r="E952">
        <v>2</v>
      </c>
      <c r="F952" t="s">
        <v>168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199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172</v>
      </c>
      <c r="E953">
        <v>2</v>
      </c>
      <c r="F953" t="s">
        <v>168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199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172</v>
      </c>
      <c r="E954">
        <v>2</v>
      </c>
      <c r="F954" t="s">
        <v>168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198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172</v>
      </c>
      <c r="E955">
        <v>2</v>
      </c>
      <c r="F955" t="s">
        <v>168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199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172</v>
      </c>
      <c r="E956">
        <v>2</v>
      </c>
      <c r="F956" t="s">
        <v>168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199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172</v>
      </c>
      <c r="E957">
        <v>2</v>
      </c>
      <c r="F957" t="s">
        <v>168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198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172</v>
      </c>
      <c r="E958">
        <v>2</v>
      </c>
      <c r="F958" t="s">
        <v>168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198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172</v>
      </c>
      <c r="E959">
        <v>2</v>
      </c>
      <c r="F959" t="s">
        <v>168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198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172</v>
      </c>
      <c r="E960">
        <v>2</v>
      </c>
      <c r="F960" t="s">
        <v>168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198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172</v>
      </c>
      <c r="E961">
        <v>2</v>
      </c>
      <c r="F961" t="s">
        <v>168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199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172</v>
      </c>
      <c r="E962">
        <v>2</v>
      </c>
      <c r="F962" t="s">
        <v>168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198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172</v>
      </c>
      <c r="E963">
        <v>2</v>
      </c>
      <c r="F963" t="s">
        <v>168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199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172</v>
      </c>
      <c r="E964">
        <v>2</v>
      </c>
      <c r="F964" t="s">
        <v>168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198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172</v>
      </c>
      <c r="E965">
        <v>2</v>
      </c>
      <c r="F965" t="s">
        <v>168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198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172</v>
      </c>
      <c r="E966">
        <v>2</v>
      </c>
      <c r="F966" t="s">
        <v>168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198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172</v>
      </c>
      <c r="E967">
        <v>2</v>
      </c>
      <c r="F967" t="s">
        <v>168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198</v>
      </c>
      <c r="N967">
        <v>19</v>
      </c>
      <c r="O967">
        <v>5</v>
      </c>
      <c r="T967" t="str">
        <f t="shared" si="108"/>
        <v/>
      </c>
    </row>
    <row r="968" spans="1:2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172</v>
      </c>
      <c r="E968">
        <v>2</v>
      </c>
      <c r="F968" t="s">
        <v>181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172</v>
      </c>
      <c r="E969">
        <v>2</v>
      </c>
      <c r="F969" t="s">
        <v>167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172</v>
      </c>
      <c r="E970">
        <v>2</v>
      </c>
      <c r="F970" t="s">
        <v>182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172</v>
      </c>
      <c r="E971">
        <v>2</v>
      </c>
      <c r="F971" t="s">
        <v>167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172</v>
      </c>
      <c r="E972">
        <v>2</v>
      </c>
      <c r="F972" t="s">
        <v>168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203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172</v>
      </c>
      <c r="E973">
        <v>2</v>
      </c>
      <c r="F973" t="s">
        <v>168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198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172</v>
      </c>
      <c r="E974">
        <v>2</v>
      </c>
      <c r="F974" t="s">
        <v>168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198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166</v>
      </c>
      <c r="E975">
        <v>2</v>
      </c>
      <c r="F975" t="s">
        <v>168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198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166</v>
      </c>
      <c r="E976">
        <v>2</v>
      </c>
      <c r="F976" t="s">
        <v>168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199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166</v>
      </c>
      <c r="E977">
        <v>2</v>
      </c>
      <c r="F977" t="s">
        <v>168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199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166</v>
      </c>
      <c r="E978">
        <v>2</v>
      </c>
      <c r="F978" t="s">
        <v>168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198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166</v>
      </c>
      <c r="E979">
        <v>2</v>
      </c>
      <c r="F979" t="s">
        <v>168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199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166</v>
      </c>
      <c r="E980">
        <v>2</v>
      </c>
      <c r="F980" t="s">
        <v>168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199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166</v>
      </c>
      <c r="E981">
        <v>2</v>
      </c>
      <c r="F981" t="s">
        <v>168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198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166</v>
      </c>
      <c r="E982">
        <v>2</v>
      </c>
      <c r="F982" t="s">
        <v>168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199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166</v>
      </c>
      <c r="E983">
        <v>2</v>
      </c>
      <c r="F983" t="s">
        <v>167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172</v>
      </c>
      <c r="E984">
        <v>2</v>
      </c>
      <c r="F984" t="s">
        <v>168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199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172</v>
      </c>
      <c r="E985">
        <v>2</v>
      </c>
      <c r="F985" t="s">
        <v>168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199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172</v>
      </c>
      <c r="E986">
        <v>2</v>
      </c>
      <c r="F986" t="s">
        <v>168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198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172</v>
      </c>
      <c r="E987">
        <v>2</v>
      </c>
      <c r="F987" t="s">
        <v>168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198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172</v>
      </c>
      <c r="E988">
        <v>2</v>
      </c>
      <c r="F988" t="s">
        <v>168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199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172</v>
      </c>
      <c r="E989">
        <v>2</v>
      </c>
      <c r="F989" t="s">
        <v>168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198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172</v>
      </c>
      <c r="E990">
        <v>2</v>
      </c>
      <c r="F990" t="s">
        <v>168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198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172</v>
      </c>
      <c r="E991">
        <v>2</v>
      </c>
      <c r="F991" t="s">
        <v>168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198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172</v>
      </c>
      <c r="E992">
        <v>2</v>
      </c>
      <c r="F992" t="s">
        <v>168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199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172</v>
      </c>
      <c r="E993">
        <v>2</v>
      </c>
      <c r="F993" t="s">
        <v>168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199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172</v>
      </c>
      <c r="E994">
        <v>2</v>
      </c>
      <c r="F994" t="s">
        <v>168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199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172</v>
      </c>
      <c r="E995">
        <v>2</v>
      </c>
      <c r="F995" t="s">
        <v>168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199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172</v>
      </c>
      <c r="E996">
        <v>2</v>
      </c>
      <c r="F996" t="s">
        <v>168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199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172</v>
      </c>
      <c r="E997">
        <v>2</v>
      </c>
      <c r="F997" t="s">
        <v>168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198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172</v>
      </c>
      <c r="E998">
        <v>2</v>
      </c>
      <c r="F998" t="s">
        <v>168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198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172</v>
      </c>
      <c r="E999">
        <v>2</v>
      </c>
      <c r="F999" t="s">
        <v>168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198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172</v>
      </c>
      <c r="E1000">
        <v>2</v>
      </c>
      <c r="F1000" t="s">
        <v>168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199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172</v>
      </c>
      <c r="E1001">
        <v>2</v>
      </c>
      <c r="F1001" t="s">
        <v>168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199</v>
      </c>
      <c r="N1001">
        <v>18</v>
      </c>
      <c r="O1001">
        <v>4</v>
      </c>
      <c r="T1001" t="str">
        <f t="shared" si="108"/>
        <v/>
      </c>
    </row>
    <row r="1002" spans="1:20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172</v>
      </c>
      <c r="E1002">
        <v>2</v>
      </c>
      <c r="F1002" t="s">
        <v>182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172</v>
      </c>
      <c r="E1003">
        <v>2</v>
      </c>
      <c r="F1003" t="s">
        <v>181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172</v>
      </c>
      <c r="E1004">
        <v>2</v>
      </c>
      <c r="F1004" t="s">
        <v>182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172</v>
      </c>
      <c r="E1005">
        <v>2</v>
      </c>
      <c r="F1005" t="s">
        <v>167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172</v>
      </c>
      <c r="E1006">
        <v>2</v>
      </c>
      <c r="F1006" t="s">
        <v>182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172</v>
      </c>
      <c r="E1007">
        <v>2</v>
      </c>
      <c r="F1007" t="s">
        <v>167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172</v>
      </c>
      <c r="E1008">
        <v>2</v>
      </c>
      <c r="F1008" t="s">
        <v>167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172</v>
      </c>
      <c r="E1009">
        <v>2</v>
      </c>
      <c r="F1009" t="s">
        <v>182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172</v>
      </c>
      <c r="E1010">
        <v>2</v>
      </c>
      <c r="F1010" t="s">
        <v>167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172</v>
      </c>
      <c r="E1011">
        <v>2</v>
      </c>
      <c r="F1011" t="s">
        <v>168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199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172</v>
      </c>
      <c r="E1012">
        <v>2</v>
      </c>
      <c r="F1012" t="s">
        <v>168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198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172</v>
      </c>
      <c r="E1013">
        <v>2</v>
      </c>
      <c r="F1013" t="s">
        <v>168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199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172</v>
      </c>
      <c r="E1014">
        <v>2</v>
      </c>
      <c r="F1014" t="s">
        <v>168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199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172</v>
      </c>
      <c r="E1015">
        <v>2</v>
      </c>
      <c r="F1015" t="s">
        <v>168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199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172</v>
      </c>
      <c r="E1016">
        <v>2</v>
      </c>
      <c r="F1016" t="s">
        <v>168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199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172</v>
      </c>
      <c r="E1017">
        <v>2</v>
      </c>
      <c r="F1017" t="s">
        <v>168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199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172</v>
      </c>
      <c r="E1018">
        <v>2</v>
      </c>
      <c r="F1018" t="s">
        <v>168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198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172</v>
      </c>
      <c r="E1019">
        <v>2</v>
      </c>
      <c r="F1019" t="s">
        <v>168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199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172</v>
      </c>
      <c r="E1020">
        <v>2</v>
      </c>
      <c r="F1020" t="s">
        <v>168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198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172</v>
      </c>
      <c r="E1021">
        <v>2</v>
      </c>
      <c r="F1021" t="s">
        <v>168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198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172</v>
      </c>
      <c r="E1022">
        <v>2</v>
      </c>
      <c r="F1022" t="s">
        <v>168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198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172</v>
      </c>
      <c r="E1023">
        <v>2</v>
      </c>
      <c r="F1023" t="s">
        <v>168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199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172</v>
      </c>
      <c r="E1024">
        <v>2</v>
      </c>
      <c r="F1024" t="s">
        <v>168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199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172</v>
      </c>
      <c r="E1025">
        <v>2</v>
      </c>
      <c r="F1025" t="s">
        <v>168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198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172</v>
      </c>
      <c r="E1026">
        <v>2</v>
      </c>
      <c r="F1026" t="s">
        <v>168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199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172</v>
      </c>
      <c r="E1027">
        <v>2</v>
      </c>
      <c r="F1027" t="s">
        <v>168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198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172</v>
      </c>
      <c r="E1028">
        <v>2</v>
      </c>
      <c r="F1028" t="s">
        <v>168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198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172</v>
      </c>
      <c r="E1029">
        <v>2</v>
      </c>
      <c r="F1029" t="s">
        <v>168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198</v>
      </c>
      <c r="N1029">
        <v>15</v>
      </c>
      <c r="O1029">
        <v>4</v>
      </c>
      <c r="T1029" t="str">
        <f t="shared" si="116"/>
        <v/>
      </c>
      <c r="U1029" t="s">
        <v>203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172</v>
      </c>
      <c r="E1030">
        <v>2</v>
      </c>
      <c r="F1030" t="s">
        <v>168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199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172</v>
      </c>
      <c r="E1031">
        <v>2</v>
      </c>
      <c r="F1031" t="s">
        <v>168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198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172</v>
      </c>
      <c r="E1032">
        <v>2</v>
      </c>
      <c r="F1032" t="s">
        <v>168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198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172</v>
      </c>
      <c r="E1033">
        <v>2</v>
      </c>
      <c r="F1033" t="s">
        <v>168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199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172</v>
      </c>
      <c r="E1034">
        <v>2</v>
      </c>
      <c r="F1034" t="s">
        <v>168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199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172</v>
      </c>
      <c r="E1035">
        <v>2</v>
      </c>
      <c r="F1035" t="s">
        <v>168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198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172</v>
      </c>
      <c r="E1036">
        <v>2</v>
      </c>
      <c r="F1036" t="s">
        <v>168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198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172</v>
      </c>
      <c r="E1037">
        <v>2</v>
      </c>
      <c r="F1037" t="s">
        <v>168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198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172</v>
      </c>
      <c r="E1038">
        <v>2</v>
      </c>
      <c r="F1038" t="s">
        <v>168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199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172</v>
      </c>
      <c r="E1039">
        <v>2</v>
      </c>
      <c r="F1039" t="s">
        <v>168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199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172</v>
      </c>
      <c r="E1040">
        <v>2</v>
      </c>
      <c r="F1040" t="s">
        <v>168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198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172</v>
      </c>
      <c r="E1041">
        <v>2</v>
      </c>
      <c r="F1041" t="s">
        <v>168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198</v>
      </c>
      <c r="N1041">
        <v>21</v>
      </c>
      <c r="O1041">
        <v>8</v>
      </c>
      <c r="T1041" t="str">
        <f t="shared" si="116"/>
        <v/>
      </c>
      <c r="U1041" t="s">
        <v>203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172</v>
      </c>
      <c r="E1042">
        <v>2</v>
      </c>
      <c r="F1042" t="s">
        <v>168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198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172</v>
      </c>
      <c r="E1043">
        <v>2</v>
      </c>
      <c r="F1043" t="s">
        <v>168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199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172</v>
      </c>
      <c r="E1044">
        <v>2</v>
      </c>
      <c r="F1044" t="s">
        <v>168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199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172</v>
      </c>
      <c r="E1045">
        <v>2</v>
      </c>
      <c r="F1045" t="s">
        <v>168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198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172</v>
      </c>
      <c r="E1046">
        <v>2</v>
      </c>
      <c r="F1046" t="s">
        <v>168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198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172</v>
      </c>
      <c r="E1047">
        <v>2</v>
      </c>
      <c r="F1047" t="s">
        <v>168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199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172</v>
      </c>
      <c r="E1048">
        <v>2</v>
      </c>
      <c r="F1048" t="s">
        <v>168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198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172</v>
      </c>
      <c r="E1049">
        <v>2</v>
      </c>
      <c r="F1049" t="s">
        <v>168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199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172</v>
      </c>
      <c r="E1050">
        <v>2</v>
      </c>
      <c r="F1050" t="s">
        <v>168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198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172</v>
      </c>
      <c r="E1051">
        <v>2</v>
      </c>
      <c r="F1051" t="s">
        <v>168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198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172</v>
      </c>
      <c r="E1052">
        <v>2</v>
      </c>
      <c r="F1052" t="s">
        <v>168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199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172</v>
      </c>
      <c r="E1053">
        <v>2</v>
      </c>
      <c r="F1053" t="s">
        <v>168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199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166</v>
      </c>
      <c r="E1054">
        <v>2</v>
      </c>
      <c r="F1054" t="s">
        <v>167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172</v>
      </c>
      <c r="E1055">
        <v>1</v>
      </c>
      <c r="F1055" t="s">
        <v>182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172</v>
      </c>
      <c r="E1056">
        <v>1</v>
      </c>
      <c r="F1056" t="s">
        <v>182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172</v>
      </c>
      <c r="E1057">
        <v>1</v>
      </c>
      <c r="F1057" t="s">
        <v>182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172</v>
      </c>
      <c r="E1058">
        <v>1</v>
      </c>
      <c r="F1058" t="s">
        <v>182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172</v>
      </c>
      <c r="E1059">
        <v>1</v>
      </c>
      <c r="F1059" t="s">
        <v>182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172</v>
      </c>
      <c r="E1060">
        <v>1</v>
      </c>
      <c r="F1060" t="s">
        <v>182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172</v>
      </c>
      <c r="E1061">
        <v>1</v>
      </c>
      <c r="F1061" t="s">
        <v>182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172</v>
      </c>
      <c r="E1062">
        <v>1</v>
      </c>
      <c r="F1062" t="s">
        <v>182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172</v>
      </c>
      <c r="E1063">
        <v>1</v>
      </c>
      <c r="F1063" t="s">
        <v>182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172</v>
      </c>
      <c r="E1064">
        <v>1</v>
      </c>
      <c r="F1064" t="s">
        <v>182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172</v>
      </c>
      <c r="E1065">
        <v>1</v>
      </c>
      <c r="F1065" t="s">
        <v>182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172</v>
      </c>
      <c r="E1066">
        <v>1</v>
      </c>
      <c r="F1066" t="s">
        <v>182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172</v>
      </c>
      <c r="E1067">
        <v>1</v>
      </c>
      <c r="F1067" t="s">
        <v>181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172</v>
      </c>
      <c r="E1068">
        <v>1</v>
      </c>
      <c r="F1068" t="s">
        <v>167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166</v>
      </c>
      <c r="E1069">
        <v>2</v>
      </c>
      <c r="F1069" t="s">
        <v>167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207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172</v>
      </c>
      <c r="E1070">
        <v>2</v>
      </c>
      <c r="F1070" t="s">
        <v>168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198</v>
      </c>
      <c r="N1070">
        <v>31</v>
      </c>
      <c r="O1070">
        <v>22</v>
      </c>
      <c r="T1070" t="str">
        <f t="shared" si="116"/>
        <v/>
      </c>
      <c r="U1070" t="s">
        <v>208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172</v>
      </c>
      <c r="E1071">
        <v>2</v>
      </c>
      <c r="F1071" t="s">
        <v>168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198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208</v>
      </c>
    </row>
    <row r="1072" spans="1:2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172</v>
      </c>
      <c r="E1072">
        <v>2</v>
      </c>
      <c r="F1072" t="s">
        <v>182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208</v>
      </c>
    </row>
    <row r="1073" spans="1:2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172</v>
      </c>
      <c r="E1073">
        <v>2</v>
      </c>
      <c r="F1073" t="s">
        <v>182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208</v>
      </c>
    </row>
    <row r="1074" spans="1:2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172</v>
      </c>
      <c r="E1074">
        <v>2</v>
      </c>
      <c r="F1074" t="s">
        <v>167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208</v>
      </c>
    </row>
    <row r="1075" spans="1:2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166</v>
      </c>
      <c r="E1075">
        <v>2</v>
      </c>
      <c r="F1075" t="s">
        <v>167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172</v>
      </c>
      <c r="E1076">
        <v>2</v>
      </c>
      <c r="F1076" t="s">
        <v>181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172</v>
      </c>
      <c r="E1077">
        <v>2</v>
      </c>
      <c r="F1077" t="s">
        <v>182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172</v>
      </c>
      <c r="E1078">
        <v>2</v>
      </c>
      <c r="F1078" t="s">
        <v>182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172</v>
      </c>
      <c r="E1079">
        <v>2</v>
      </c>
      <c r="F1079" t="s">
        <v>182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172</v>
      </c>
      <c r="E1080">
        <v>2</v>
      </c>
      <c r="F1080" t="s">
        <v>182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172</v>
      </c>
      <c r="E1081">
        <v>2</v>
      </c>
      <c r="F1081" t="s">
        <v>167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172</v>
      </c>
      <c r="E1082">
        <v>2</v>
      </c>
      <c r="F1082" t="s">
        <v>167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172</v>
      </c>
      <c r="E1083">
        <v>2</v>
      </c>
      <c r="F1083" t="s">
        <v>178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166</v>
      </c>
      <c r="E1084">
        <v>2</v>
      </c>
      <c r="F1084" t="s">
        <v>167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172</v>
      </c>
      <c r="E1085">
        <v>2</v>
      </c>
      <c r="F1085" t="s">
        <v>185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172</v>
      </c>
      <c r="E1086">
        <v>2</v>
      </c>
      <c r="F1086" t="s">
        <v>182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172</v>
      </c>
      <c r="E1087">
        <v>2</v>
      </c>
      <c r="F1087" t="s">
        <v>181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172</v>
      </c>
      <c r="E1088">
        <v>2</v>
      </c>
      <c r="F1088" t="s">
        <v>167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172</v>
      </c>
      <c r="E1089">
        <v>2</v>
      </c>
      <c r="F1089" t="s">
        <v>167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166</v>
      </c>
      <c r="E1090">
        <v>2</v>
      </c>
      <c r="F1090" t="s">
        <v>167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172</v>
      </c>
      <c r="E1091">
        <v>2</v>
      </c>
      <c r="F1091" t="s">
        <v>168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199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172</v>
      </c>
      <c r="E1092">
        <v>2</v>
      </c>
      <c r="F1092" t="s">
        <v>168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199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172</v>
      </c>
      <c r="E1093">
        <v>2</v>
      </c>
      <c r="F1093" t="s">
        <v>168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199</v>
      </c>
      <c r="O1093">
        <v>9</v>
      </c>
      <c r="T1093" t="str">
        <f t="shared" si="124"/>
        <v/>
      </c>
    </row>
    <row r="1094" spans="1:20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172</v>
      </c>
      <c r="E1094">
        <v>2</v>
      </c>
      <c r="F1094" t="s">
        <v>181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172</v>
      </c>
      <c r="E1095">
        <v>2</v>
      </c>
      <c r="F1095" t="s">
        <v>167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172</v>
      </c>
      <c r="E1096">
        <v>2</v>
      </c>
      <c r="F1096" t="s">
        <v>167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166</v>
      </c>
      <c r="E1097">
        <v>2</v>
      </c>
      <c r="F1097" t="s">
        <v>167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172</v>
      </c>
      <c r="E1098">
        <v>2</v>
      </c>
      <c r="F1098" t="s">
        <v>181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172</v>
      </c>
      <c r="E1099">
        <v>2</v>
      </c>
      <c r="F1099" t="s">
        <v>167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172</v>
      </c>
      <c r="E1100">
        <v>2</v>
      </c>
      <c r="F1100" t="s">
        <v>167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172</v>
      </c>
      <c r="E1101">
        <v>2</v>
      </c>
      <c r="F1101" t="s">
        <v>182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166</v>
      </c>
      <c r="E1102">
        <v>2</v>
      </c>
      <c r="F1102" t="s">
        <v>168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199</v>
      </c>
      <c r="N1102">
        <v>35</v>
      </c>
      <c r="O1102">
        <v>30</v>
      </c>
      <c r="T1102" t="str">
        <f t="shared" si="124"/>
        <v/>
      </c>
    </row>
    <row r="1103" spans="1:20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166</v>
      </c>
      <c r="E1103">
        <v>2</v>
      </c>
      <c r="F1103" t="s">
        <v>182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166</v>
      </c>
      <c r="E1104">
        <v>2</v>
      </c>
      <c r="F1104" t="s">
        <v>167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172</v>
      </c>
      <c r="E1105">
        <v>2</v>
      </c>
      <c r="F1105" t="s">
        <v>168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199</v>
      </c>
      <c r="N1105">
        <v>41</v>
      </c>
      <c r="O1105">
        <v>41</v>
      </c>
      <c r="T1105" t="str">
        <f t="shared" si="124"/>
        <v/>
      </c>
    </row>
    <row r="1106" spans="1:20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172</v>
      </c>
      <c r="E1106">
        <v>2</v>
      </c>
      <c r="F1106" t="s">
        <v>182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172</v>
      </c>
      <c r="E1107">
        <v>2</v>
      </c>
      <c r="F1107" t="s">
        <v>182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172</v>
      </c>
      <c r="E1108">
        <v>2</v>
      </c>
      <c r="F1108" t="s">
        <v>182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172</v>
      </c>
      <c r="E1109">
        <v>2</v>
      </c>
      <c r="F1109" t="s">
        <v>181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172</v>
      </c>
      <c r="E1110">
        <v>2</v>
      </c>
      <c r="F1110" t="s">
        <v>182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172</v>
      </c>
      <c r="E1111">
        <v>2</v>
      </c>
      <c r="F1111" t="s">
        <v>182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172</v>
      </c>
      <c r="E1112">
        <v>2</v>
      </c>
      <c r="F1112" t="s">
        <v>182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172</v>
      </c>
      <c r="E1113">
        <v>2</v>
      </c>
      <c r="F1113" t="s">
        <v>182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172</v>
      </c>
      <c r="E1114">
        <v>2</v>
      </c>
      <c r="F1114" t="s">
        <v>182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172</v>
      </c>
      <c r="E1115">
        <v>2</v>
      </c>
      <c r="F1115" t="s">
        <v>182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172</v>
      </c>
      <c r="E1116">
        <v>2</v>
      </c>
      <c r="F1116" t="s">
        <v>182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172</v>
      </c>
      <c r="E1117">
        <v>2</v>
      </c>
      <c r="F1117" t="s">
        <v>167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172</v>
      </c>
      <c r="E1118">
        <v>2</v>
      </c>
      <c r="F1118" t="s">
        <v>182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172</v>
      </c>
      <c r="E1119">
        <v>2</v>
      </c>
      <c r="F1119" t="s">
        <v>182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172</v>
      </c>
      <c r="E1120">
        <v>2</v>
      </c>
      <c r="F1120" t="s">
        <v>167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166</v>
      </c>
      <c r="E1121">
        <v>2</v>
      </c>
      <c r="F1121" t="s">
        <v>167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172</v>
      </c>
      <c r="E1122">
        <v>2</v>
      </c>
      <c r="F1122" t="s">
        <v>182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172</v>
      </c>
      <c r="E1123">
        <v>2</v>
      </c>
      <c r="F1123" t="s">
        <v>167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172</v>
      </c>
      <c r="E1124">
        <v>2</v>
      </c>
      <c r="F1124" t="s">
        <v>167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166</v>
      </c>
      <c r="E1125">
        <v>2</v>
      </c>
      <c r="F1125" t="s">
        <v>168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199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166</v>
      </c>
      <c r="E1126">
        <v>2</v>
      </c>
      <c r="F1126" t="s">
        <v>168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199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166</v>
      </c>
      <c r="E1127">
        <v>2</v>
      </c>
      <c r="F1127" t="s">
        <v>168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198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166</v>
      </c>
      <c r="E1128">
        <v>2</v>
      </c>
      <c r="F1128" t="s">
        <v>168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199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166</v>
      </c>
      <c r="E1129">
        <v>2</v>
      </c>
      <c r="F1129" t="s">
        <v>168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199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166</v>
      </c>
      <c r="E1130">
        <v>2</v>
      </c>
      <c r="F1130" t="s">
        <v>168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199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166</v>
      </c>
      <c r="E1131">
        <v>2</v>
      </c>
      <c r="F1131" t="s">
        <v>168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199</v>
      </c>
      <c r="N1131">
        <v>21</v>
      </c>
      <c r="O1131">
        <v>6</v>
      </c>
      <c r="T1131" t="str">
        <f t="shared" si="124"/>
        <v/>
      </c>
    </row>
    <row r="1132" spans="1:20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172</v>
      </c>
      <c r="E1132">
        <v>2</v>
      </c>
      <c r="F1132" t="s">
        <v>167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172</v>
      </c>
      <c r="E1133">
        <v>2</v>
      </c>
      <c r="F1133" t="s">
        <v>185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172</v>
      </c>
      <c r="E1134">
        <v>2</v>
      </c>
      <c r="F1134" t="s">
        <v>182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172</v>
      </c>
      <c r="E1135">
        <v>2</v>
      </c>
      <c r="F1135" t="s">
        <v>182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172</v>
      </c>
      <c r="E1136">
        <v>2</v>
      </c>
      <c r="F1136" t="s">
        <v>168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199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172</v>
      </c>
      <c r="E1137">
        <v>2</v>
      </c>
      <c r="F1137" t="s">
        <v>168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199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172</v>
      </c>
      <c r="E1138">
        <v>2</v>
      </c>
      <c r="F1138" t="s">
        <v>168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199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172</v>
      </c>
      <c r="E1139">
        <v>2</v>
      </c>
      <c r="F1139" t="s">
        <v>168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198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172</v>
      </c>
      <c r="E1140">
        <v>2</v>
      </c>
      <c r="F1140" t="s">
        <v>168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199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172</v>
      </c>
      <c r="E1141">
        <v>2</v>
      </c>
      <c r="F1141" t="s">
        <v>168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199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172</v>
      </c>
      <c r="E1142">
        <v>2</v>
      </c>
      <c r="F1142" t="s">
        <v>168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198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172</v>
      </c>
      <c r="E1143">
        <v>2</v>
      </c>
      <c r="F1143" t="s">
        <v>168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198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172</v>
      </c>
      <c r="E1144">
        <v>2</v>
      </c>
      <c r="F1144" t="s">
        <v>168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198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172</v>
      </c>
      <c r="E1145">
        <v>2</v>
      </c>
      <c r="F1145" t="s">
        <v>168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199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172</v>
      </c>
      <c r="E1146">
        <v>2</v>
      </c>
      <c r="F1146" t="s">
        <v>168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199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172</v>
      </c>
      <c r="E1147">
        <v>2</v>
      </c>
      <c r="F1147" t="s">
        <v>168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199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172</v>
      </c>
      <c r="E1148">
        <v>2</v>
      </c>
      <c r="F1148" t="s">
        <v>168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199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172</v>
      </c>
      <c r="E1149">
        <v>2</v>
      </c>
      <c r="F1149" t="s">
        <v>168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199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172</v>
      </c>
      <c r="E1150">
        <v>2</v>
      </c>
      <c r="F1150" t="s">
        <v>168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198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172</v>
      </c>
      <c r="E1151">
        <v>2</v>
      </c>
      <c r="F1151" t="s">
        <v>168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199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172</v>
      </c>
      <c r="E1152">
        <v>2</v>
      </c>
      <c r="F1152" t="s">
        <v>168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199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172</v>
      </c>
      <c r="E1153">
        <v>2</v>
      </c>
      <c r="F1153" t="s">
        <v>168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198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172</v>
      </c>
      <c r="E1154">
        <v>2</v>
      </c>
      <c r="F1154" t="s">
        <v>168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198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172</v>
      </c>
      <c r="E1155">
        <v>2</v>
      </c>
      <c r="F1155" t="s">
        <v>168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199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172</v>
      </c>
      <c r="E1156">
        <v>2</v>
      </c>
      <c r="F1156" t="s">
        <v>168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199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172</v>
      </c>
      <c r="E1157">
        <v>2</v>
      </c>
      <c r="F1157" t="s">
        <v>168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198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172</v>
      </c>
      <c r="E1158">
        <v>2</v>
      </c>
      <c r="F1158" t="s">
        <v>168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199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172</v>
      </c>
      <c r="E1159">
        <v>2</v>
      </c>
      <c r="F1159" t="s">
        <v>168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198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172</v>
      </c>
      <c r="E1160">
        <v>2</v>
      </c>
      <c r="F1160" t="s">
        <v>168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199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172</v>
      </c>
      <c r="E1161">
        <v>2</v>
      </c>
      <c r="F1161" t="s">
        <v>168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199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172</v>
      </c>
      <c r="E1162">
        <v>2</v>
      </c>
      <c r="F1162" t="s">
        <v>168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199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172</v>
      </c>
      <c r="E1163">
        <v>2</v>
      </c>
      <c r="F1163" t="s">
        <v>168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199</v>
      </c>
      <c r="N1163">
        <v>16</v>
      </c>
      <c r="O1163">
        <v>5</v>
      </c>
      <c r="T1163" t="str">
        <f t="shared" si="131"/>
        <v/>
      </c>
    </row>
    <row r="1164" spans="1:20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172</v>
      </c>
      <c r="E1164">
        <v>2</v>
      </c>
      <c r="F1164" t="s">
        <v>182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172</v>
      </c>
      <c r="E1165">
        <v>2</v>
      </c>
      <c r="F1165" t="s">
        <v>181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172</v>
      </c>
      <c r="E1166">
        <v>2</v>
      </c>
      <c r="F1166" t="s">
        <v>168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199</v>
      </c>
      <c r="N1166">
        <v>15</v>
      </c>
      <c r="O1166">
        <v>4</v>
      </c>
      <c r="T1166" t="str">
        <f t="shared" si="131"/>
        <v/>
      </c>
    </row>
    <row r="1167" spans="1:20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172</v>
      </c>
      <c r="E1167">
        <v>2</v>
      </c>
      <c r="F1167" t="s">
        <v>182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172</v>
      </c>
      <c r="E1168">
        <v>2</v>
      </c>
      <c r="F1168" t="s">
        <v>167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172</v>
      </c>
      <c r="E1169">
        <v>2</v>
      </c>
      <c r="F1169" t="s">
        <v>167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172</v>
      </c>
      <c r="E1170">
        <v>2</v>
      </c>
      <c r="F1170" t="s">
        <v>182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172</v>
      </c>
      <c r="E1171">
        <v>2</v>
      </c>
      <c r="F1171" t="s">
        <v>182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172</v>
      </c>
      <c r="E1172">
        <v>2</v>
      </c>
      <c r="F1172" t="s">
        <v>168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199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172</v>
      </c>
      <c r="E1173">
        <v>2</v>
      </c>
      <c r="F1173" t="s">
        <v>168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199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172</v>
      </c>
      <c r="E1174">
        <v>2</v>
      </c>
      <c r="F1174" t="s">
        <v>168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199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172</v>
      </c>
      <c r="E1175">
        <v>2</v>
      </c>
      <c r="F1175" t="s">
        <v>168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199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172</v>
      </c>
      <c r="E1176">
        <v>2</v>
      </c>
      <c r="F1176" t="s">
        <v>168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199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172</v>
      </c>
      <c r="E1177">
        <v>2</v>
      </c>
      <c r="F1177" t="s">
        <v>168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199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172</v>
      </c>
      <c r="E1178">
        <v>2</v>
      </c>
      <c r="F1178" t="s">
        <v>168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199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172</v>
      </c>
      <c r="E1179">
        <v>2</v>
      </c>
      <c r="F1179" t="s">
        <v>168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198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172</v>
      </c>
      <c r="E1180">
        <v>2</v>
      </c>
      <c r="F1180" t="s">
        <v>168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199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172</v>
      </c>
      <c r="E1181">
        <v>2</v>
      </c>
      <c r="F1181" t="s">
        <v>168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198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172</v>
      </c>
      <c r="E1182">
        <v>2</v>
      </c>
      <c r="F1182" t="s">
        <v>168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198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172</v>
      </c>
      <c r="E1183">
        <v>2</v>
      </c>
      <c r="F1183" t="s">
        <v>168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199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172</v>
      </c>
      <c r="E1184">
        <v>2</v>
      </c>
      <c r="F1184" t="s">
        <v>168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198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172</v>
      </c>
      <c r="E1185">
        <v>2</v>
      </c>
      <c r="F1185" t="s">
        <v>168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199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172</v>
      </c>
      <c r="E1186">
        <v>2</v>
      </c>
      <c r="F1186" t="s">
        <v>167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166</v>
      </c>
      <c r="E1187">
        <v>2</v>
      </c>
      <c r="F1187" t="s">
        <v>168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199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166</v>
      </c>
      <c r="E1188">
        <v>2</v>
      </c>
      <c r="F1188" t="s">
        <v>168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199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166</v>
      </c>
      <c r="E1189">
        <v>2</v>
      </c>
      <c r="F1189" t="s">
        <v>168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199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166</v>
      </c>
      <c r="E1190">
        <v>2</v>
      </c>
      <c r="F1190" t="s">
        <v>168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199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166</v>
      </c>
      <c r="E1191">
        <v>2</v>
      </c>
      <c r="F1191" t="s">
        <v>168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199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166</v>
      </c>
      <c r="E1192">
        <v>2</v>
      </c>
      <c r="F1192" t="s">
        <v>168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199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166</v>
      </c>
      <c r="E1193">
        <v>2</v>
      </c>
      <c r="F1193" t="s">
        <v>168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198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209</v>
      </c>
    </row>
    <row r="1194" spans="1:2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166</v>
      </c>
      <c r="E1194">
        <v>2</v>
      </c>
      <c r="F1194" t="s">
        <v>167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172</v>
      </c>
      <c r="E1195">
        <v>2</v>
      </c>
      <c r="F1195" t="s">
        <v>168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198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172</v>
      </c>
      <c r="E1196">
        <v>2</v>
      </c>
      <c r="F1196" t="s">
        <v>168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199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172</v>
      </c>
      <c r="E1197">
        <v>2</v>
      </c>
      <c r="F1197" t="s">
        <v>168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198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172</v>
      </c>
      <c r="E1198">
        <v>2</v>
      </c>
      <c r="F1198" t="s">
        <v>168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199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172</v>
      </c>
      <c r="E1199">
        <v>2</v>
      </c>
      <c r="F1199" t="s">
        <v>168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199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172</v>
      </c>
      <c r="E1200">
        <v>2</v>
      </c>
      <c r="F1200" t="s">
        <v>168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199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172</v>
      </c>
      <c r="E1201">
        <v>2</v>
      </c>
      <c r="F1201" t="s">
        <v>168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199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172</v>
      </c>
      <c r="E1202">
        <v>2</v>
      </c>
      <c r="F1202" t="s">
        <v>168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199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172</v>
      </c>
      <c r="E1203">
        <v>2</v>
      </c>
      <c r="F1203" t="s">
        <v>168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198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172</v>
      </c>
      <c r="E1204">
        <v>2</v>
      </c>
      <c r="F1204" t="s">
        <v>168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198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172</v>
      </c>
      <c r="E1205">
        <v>2</v>
      </c>
      <c r="F1205" t="s">
        <v>168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198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172</v>
      </c>
      <c r="E1206">
        <v>2</v>
      </c>
      <c r="F1206" t="s">
        <v>168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199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172</v>
      </c>
      <c r="E1207">
        <v>2</v>
      </c>
      <c r="F1207" t="s">
        <v>181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172</v>
      </c>
      <c r="E1208">
        <v>2</v>
      </c>
      <c r="F1208" t="s">
        <v>167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172</v>
      </c>
      <c r="E1209">
        <v>2</v>
      </c>
      <c r="F1209" t="s">
        <v>167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172</v>
      </c>
      <c r="E1210">
        <v>2</v>
      </c>
      <c r="F1210" t="s">
        <v>174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166</v>
      </c>
      <c r="E1211">
        <v>2</v>
      </c>
      <c r="F1211" t="s">
        <v>167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172</v>
      </c>
      <c r="E1212">
        <v>2</v>
      </c>
      <c r="F1212" t="s">
        <v>182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172</v>
      </c>
      <c r="E1213">
        <v>2</v>
      </c>
      <c r="F1213" t="s">
        <v>181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172</v>
      </c>
      <c r="E1214">
        <v>2</v>
      </c>
      <c r="F1214" t="s">
        <v>178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172</v>
      </c>
      <c r="E1215">
        <v>2</v>
      </c>
      <c r="F1215" t="s">
        <v>167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172</v>
      </c>
      <c r="E1216">
        <v>2</v>
      </c>
      <c r="F1216" t="s">
        <v>167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172</v>
      </c>
      <c r="E1217">
        <v>2</v>
      </c>
      <c r="F1217" t="s">
        <v>174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198</v>
      </c>
      <c r="N1217">
        <v>180</v>
      </c>
      <c r="O1217">
        <v>70</v>
      </c>
      <c r="T1217" t="str">
        <f t="shared" si="138"/>
        <v/>
      </c>
    </row>
    <row r="1218" spans="1:2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166</v>
      </c>
      <c r="E1218">
        <v>2</v>
      </c>
      <c r="F1218" t="s">
        <v>167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172</v>
      </c>
      <c r="E1219">
        <v>2</v>
      </c>
      <c r="F1219" t="s">
        <v>182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172</v>
      </c>
      <c r="E1220">
        <v>2</v>
      </c>
      <c r="F1220" t="s">
        <v>182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172</v>
      </c>
      <c r="E1221">
        <v>2</v>
      </c>
      <c r="F1221" t="s">
        <v>182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172</v>
      </c>
      <c r="E1222">
        <v>2</v>
      </c>
      <c r="F1222" t="s">
        <v>167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172</v>
      </c>
      <c r="E1223">
        <v>2</v>
      </c>
      <c r="F1223" t="s">
        <v>167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172</v>
      </c>
      <c r="E1224">
        <v>2</v>
      </c>
      <c r="F1224" t="s">
        <v>167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172</v>
      </c>
      <c r="E1225">
        <v>2</v>
      </c>
      <c r="F1225" t="s">
        <v>167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172</v>
      </c>
      <c r="E1226">
        <v>2</v>
      </c>
      <c r="F1226" t="s">
        <v>167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172</v>
      </c>
      <c r="E1227">
        <v>2</v>
      </c>
      <c r="F1227" t="s">
        <v>167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172</v>
      </c>
      <c r="E1228">
        <v>2</v>
      </c>
      <c r="F1228" t="s">
        <v>182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172</v>
      </c>
      <c r="E1229">
        <v>2</v>
      </c>
      <c r="F1229" t="s">
        <v>167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172</v>
      </c>
      <c r="E1230">
        <v>2</v>
      </c>
      <c r="F1230" t="s">
        <v>168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199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172</v>
      </c>
      <c r="E1231">
        <v>2</v>
      </c>
      <c r="F1231" t="s">
        <v>168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198</v>
      </c>
      <c r="N1231">
        <v>23</v>
      </c>
      <c r="O1231">
        <v>7</v>
      </c>
      <c r="T1231" t="str">
        <f t="shared" si="138"/>
        <v/>
      </c>
      <c r="U1231" t="s">
        <v>203</v>
      </c>
    </row>
    <row r="1232" spans="1:2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172</v>
      </c>
      <c r="E1232">
        <v>2</v>
      </c>
      <c r="F1232" t="s">
        <v>167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172</v>
      </c>
      <c r="E1233">
        <v>2</v>
      </c>
      <c r="F1233" t="s">
        <v>182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172</v>
      </c>
      <c r="E1234">
        <v>2</v>
      </c>
      <c r="F1234" t="s">
        <v>167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172</v>
      </c>
      <c r="E1235">
        <v>2</v>
      </c>
      <c r="F1235" t="s">
        <v>167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172</v>
      </c>
      <c r="E1236">
        <v>2</v>
      </c>
      <c r="F1236" t="s">
        <v>182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172</v>
      </c>
      <c r="E1237">
        <v>2</v>
      </c>
      <c r="F1237" t="s">
        <v>178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172</v>
      </c>
      <c r="E1238">
        <v>2</v>
      </c>
      <c r="F1238" t="s">
        <v>182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172</v>
      </c>
      <c r="E1239">
        <v>2</v>
      </c>
      <c r="F1239" t="s">
        <v>167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172</v>
      </c>
      <c r="E1240">
        <v>2</v>
      </c>
      <c r="F1240" t="s">
        <v>167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172</v>
      </c>
      <c r="E1241">
        <v>2</v>
      </c>
      <c r="F1241" t="s">
        <v>174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172</v>
      </c>
      <c r="E1242">
        <v>2</v>
      </c>
      <c r="F1242" t="s">
        <v>174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166</v>
      </c>
      <c r="E1243">
        <v>2</v>
      </c>
      <c r="F1243" t="s">
        <v>167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172</v>
      </c>
      <c r="E1244">
        <v>2</v>
      </c>
      <c r="F1244" t="s">
        <v>181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172</v>
      </c>
      <c r="E1245">
        <v>2</v>
      </c>
      <c r="F1245" t="s">
        <v>178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172</v>
      </c>
      <c r="E1246">
        <v>2</v>
      </c>
      <c r="F1246" t="s">
        <v>168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199</v>
      </c>
      <c r="N1246">
        <v>33</v>
      </c>
      <c r="O1246">
        <v>25</v>
      </c>
      <c r="T1246" t="str">
        <f t="shared" si="138"/>
        <v/>
      </c>
    </row>
    <row r="1247" spans="1:20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172</v>
      </c>
      <c r="E1247">
        <v>2</v>
      </c>
      <c r="F1247" t="s">
        <v>167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172</v>
      </c>
      <c r="E1248">
        <v>2</v>
      </c>
      <c r="F1248" t="s">
        <v>167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172</v>
      </c>
      <c r="E1249">
        <v>2</v>
      </c>
      <c r="F1249" t="s">
        <v>167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172</v>
      </c>
      <c r="E1250">
        <v>2</v>
      </c>
      <c r="F1250" t="s">
        <v>167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172</v>
      </c>
      <c r="E1251">
        <v>2</v>
      </c>
      <c r="F1251" t="s">
        <v>167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166</v>
      </c>
      <c r="E1252">
        <v>2</v>
      </c>
      <c r="F1252" t="s">
        <v>167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172</v>
      </c>
      <c r="E1253">
        <v>1</v>
      </c>
      <c r="F1253" t="s">
        <v>178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210</v>
      </c>
    </row>
    <row r="1254" spans="1:2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172</v>
      </c>
      <c r="E1254">
        <v>1</v>
      </c>
      <c r="F1254" t="s">
        <v>182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210</v>
      </c>
    </row>
    <row r="1255" spans="1:2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172</v>
      </c>
      <c r="E1255">
        <v>1</v>
      </c>
      <c r="F1255" t="s">
        <v>181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210</v>
      </c>
    </row>
    <row r="1256" spans="1:2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172</v>
      </c>
      <c r="E1256">
        <v>1</v>
      </c>
      <c r="F1256" t="s">
        <v>167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210</v>
      </c>
    </row>
    <row r="1257" spans="1:2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172</v>
      </c>
      <c r="E1257">
        <v>1</v>
      </c>
      <c r="F1257" t="s">
        <v>167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210</v>
      </c>
    </row>
    <row r="1258" spans="1:2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172</v>
      </c>
      <c r="E1258">
        <v>1</v>
      </c>
      <c r="F1258" t="s">
        <v>182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210</v>
      </c>
    </row>
    <row r="1259" spans="1:2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172</v>
      </c>
      <c r="E1259">
        <v>1</v>
      </c>
      <c r="F1259" t="s">
        <v>167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210</v>
      </c>
    </row>
    <row r="1260" spans="1:2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166</v>
      </c>
      <c r="E1260">
        <v>2</v>
      </c>
      <c r="F1260" t="s">
        <v>167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172</v>
      </c>
      <c r="E1261">
        <v>2</v>
      </c>
      <c r="F1261" t="s">
        <v>181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172</v>
      </c>
      <c r="E1262">
        <v>2</v>
      </c>
      <c r="F1262" t="s">
        <v>181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172</v>
      </c>
      <c r="E1263">
        <v>2</v>
      </c>
      <c r="F1263" t="s">
        <v>168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199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172</v>
      </c>
      <c r="E1264">
        <v>2</v>
      </c>
      <c r="F1264" t="s">
        <v>168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199</v>
      </c>
      <c r="N1264">
        <v>33</v>
      </c>
      <c r="O1264">
        <v>31</v>
      </c>
      <c r="T1264" t="str">
        <f t="shared" si="138"/>
        <v/>
      </c>
    </row>
    <row r="1265" spans="1:20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172</v>
      </c>
      <c r="E1265">
        <v>2</v>
      </c>
      <c r="F1265" t="s">
        <v>182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172</v>
      </c>
      <c r="E1266">
        <v>2</v>
      </c>
      <c r="F1266" t="s">
        <v>168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198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172</v>
      </c>
      <c r="E1267">
        <v>2</v>
      </c>
      <c r="F1267" t="s">
        <v>168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199</v>
      </c>
      <c r="N1267">
        <v>30</v>
      </c>
      <c r="O1267">
        <v>17</v>
      </c>
      <c r="T1267" t="str">
        <f t="shared" si="138"/>
        <v/>
      </c>
    </row>
    <row r="1268" spans="1:20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172</v>
      </c>
      <c r="E1268">
        <v>2</v>
      </c>
      <c r="F1268" t="s">
        <v>182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172</v>
      </c>
      <c r="E1269">
        <v>2</v>
      </c>
      <c r="F1269" t="s">
        <v>182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172</v>
      </c>
      <c r="E1270">
        <v>2</v>
      </c>
      <c r="F1270" t="s">
        <v>182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172</v>
      </c>
      <c r="E1271">
        <v>2</v>
      </c>
      <c r="F1271" t="s">
        <v>167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172</v>
      </c>
      <c r="E1272">
        <v>2</v>
      </c>
      <c r="F1272" t="s">
        <v>167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172</v>
      </c>
      <c r="E1273">
        <v>2</v>
      </c>
      <c r="F1273" t="s">
        <v>167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166</v>
      </c>
      <c r="E1274">
        <v>2</v>
      </c>
      <c r="F1274" t="s">
        <v>167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172</v>
      </c>
      <c r="E1275">
        <v>2</v>
      </c>
      <c r="F1275" t="s">
        <v>181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172</v>
      </c>
      <c r="E1276">
        <v>2</v>
      </c>
      <c r="F1276" t="s">
        <v>167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166</v>
      </c>
      <c r="E1277">
        <v>2</v>
      </c>
      <c r="F1277" t="s">
        <v>168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199</v>
      </c>
      <c r="N1277">
        <v>22</v>
      </c>
      <c r="O1277">
        <v>4</v>
      </c>
      <c r="T1277" t="str">
        <f t="shared" si="145"/>
        <v/>
      </c>
    </row>
    <row r="1278" spans="1:20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166</v>
      </c>
      <c r="E1278">
        <v>2</v>
      </c>
      <c r="F1278" t="s">
        <v>167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172</v>
      </c>
      <c r="E1279">
        <v>2</v>
      </c>
      <c r="F1279" t="s">
        <v>178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172</v>
      </c>
      <c r="E1280">
        <v>2</v>
      </c>
      <c r="F1280" t="s">
        <v>178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172</v>
      </c>
      <c r="E1281">
        <v>2</v>
      </c>
      <c r="F1281" t="s">
        <v>178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172</v>
      </c>
      <c r="E1282">
        <v>2</v>
      </c>
      <c r="F1282" t="s">
        <v>178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172</v>
      </c>
      <c r="E1283">
        <v>2</v>
      </c>
      <c r="F1283" t="s">
        <v>178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172</v>
      </c>
      <c r="E1284">
        <v>2</v>
      </c>
      <c r="F1284" t="s">
        <v>178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172</v>
      </c>
      <c r="E1285">
        <v>2</v>
      </c>
      <c r="F1285" t="s">
        <v>178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172</v>
      </c>
      <c r="E1286">
        <v>2</v>
      </c>
      <c r="F1286" t="s">
        <v>178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172</v>
      </c>
      <c r="E1287">
        <v>2</v>
      </c>
      <c r="F1287" t="s">
        <v>178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172</v>
      </c>
      <c r="E1288">
        <v>2</v>
      </c>
      <c r="F1288" t="s">
        <v>178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172</v>
      </c>
      <c r="E1289">
        <v>2</v>
      </c>
      <c r="F1289" t="s">
        <v>182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172</v>
      </c>
      <c r="E1290">
        <v>2</v>
      </c>
      <c r="F1290" t="s">
        <v>168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199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172</v>
      </c>
      <c r="E1291">
        <v>2</v>
      </c>
      <c r="F1291" t="s">
        <v>168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198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172</v>
      </c>
      <c r="E1292">
        <v>2</v>
      </c>
      <c r="F1292" t="s">
        <v>168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199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172</v>
      </c>
      <c r="E1293">
        <v>2</v>
      </c>
      <c r="F1293" t="s">
        <v>168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199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172</v>
      </c>
      <c r="E1294">
        <v>2</v>
      </c>
      <c r="F1294" t="s">
        <v>168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199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172</v>
      </c>
      <c r="E1295">
        <v>2</v>
      </c>
      <c r="F1295" t="s">
        <v>168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199</v>
      </c>
      <c r="N1295">
        <v>25</v>
      </c>
      <c r="O1295">
        <v>17</v>
      </c>
      <c r="T1295" t="str">
        <f t="shared" si="145"/>
        <v/>
      </c>
    </row>
    <row r="1296" spans="1:20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172</v>
      </c>
      <c r="E1296">
        <v>2</v>
      </c>
      <c r="F1296" t="s">
        <v>182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172</v>
      </c>
      <c r="E1297">
        <v>2</v>
      </c>
      <c r="F1297" t="s">
        <v>178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172</v>
      </c>
      <c r="E1298">
        <v>2</v>
      </c>
      <c r="F1298" t="s">
        <v>182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172</v>
      </c>
      <c r="E1299">
        <v>2</v>
      </c>
      <c r="F1299" t="s">
        <v>181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172</v>
      </c>
      <c r="E1300">
        <v>2</v>
      </c>
      <c r="F1300" t="s">
        <v>167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172</v>
      </c>
      <c r="E1301">
        <v>2</v>
      </c>
      <c r="F1301" t="s">
        <v>182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172</v>
      </c>
      <c r="E1302">
        <v>2</v>
      </c>
      <c r="F1302" t="s">
        <v>168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199</v>
      </c>
      <c r="N1302">
        <v>12</v>
      </c>
      <c r="O1302">
        <v>2</v>
      </c>
      <c r="T1302" t="str">
        <f t="shared" si="145"/>
        <v/>
      </c>
    </row>
    <row r="1303" spans="1:20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166</v>
      </c>
      <c r="E1303">
        <v>2</v>
      </c>
      <c r="F1303" t="s">
        <v>167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172</v>
      </c>
      <c r="E1304">
        <v>2</v>
      </c>
      <c r="F1304" t="s">
        <v>178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172</v>
      </c>
      <c r="E1305">
        <v>2</v>
      </c>
      <c r="F1305" t="s">
        <v>178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172</v>
      </c>
      <c r="E1306">
        <v>2</v>
      </c>
      <c r="F1306" t="s">
        <v>178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172</v>
      </c>
      <c r="E1307">
        <v>2</v>
      </c>
      <c r="F1307" t="s">
        <v>178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172</v>
      </c>
      <c r="E1308">
        <v>2</v>
      </c>
      <c r="F1308" t="s">
        <v>178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172</v>
      </c>
      <c r="E1309">
        <v>2</v>
      </c>
      <c r="F1309" t="s">
        <v>178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172</v>
      </c>
      <c r="E1310">
        <v>2</v>
      </c>
      <c r="F1310" t="s">
        <v>178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172</v>
      </c>
      <c r="E1311">
        <v>2</v>
      </c>
      <c r="F1311" t="s">
        <v>178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172</v>
      </c>
      <c r="E1312">
        <v>2</v>
      </c>
      <c r="F1312" t="s">
        <v>178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172</v>
      </c>
      <c r="E1313">
        <v>2</v>
      </c>
      <c r="F1313" t="s">
        <v>181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172</v>
      </c>
      <c r="E1314">
        <v>2</v>
      </c>
      <c r="F1314" t="s">
        <v>167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172</v>
      </c>
      <c r="E1315">
        <v>2</v>
      </c>
      <c r="F1315" t="s">
        <v>174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172</v>
      </c>
      <c r="E1316">
        <v>2</v>
      </c>
      <c r="F1316" t="s">
        <v>174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172</v>
      </c>
      <c r="E1317">
        <v>2</v>
      </c>
      <c r="F1317" t="s">
        <v>174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166</v>
      </c>
      <c r="E1318">
        <v>2</v>
      </c>
      <c r="F1318" t="s">
        <v>167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166</v>
      </c>
      <c r="E1319">
        <v>2</v>
      </c>
      <c r="F1319" t="s">
        <v>168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199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166</v>
      </c>
      <c r="E1320">
        <v>2</v>
      </c>
      <c r="F1320" t="s">
        <v>168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198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166</v>
      </c>
      <c r="E1321">
        <v>2</v>
      </c>
      <c r="F1321" t="s">
        <v>168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198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166</v>
      </c>
      <c r="E1322">
        <v>2</v>
      </c>
      <c r="F1322" t="s">
        <v>168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199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166</v>
      </c>
      <c r="E1323">
        <v>2</v>
      </c>
      <c r="F1323" t="s">
        <v>168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198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166</v>
      </c>
      <c r="E1324">
        <v>2</v>
      </c>
      <c r="F1324" t="s">
        <v>168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199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166</v>
      </c>
      <c r="E1325">
        <v>2</v>
      </c>
      <c r="F1325" t="s">
        <v>168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199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166</v>
      </c>
      <c r="E1326">
        <v>2</v>
      </c>
      <c r="F1326" t="s">
        <v>168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199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166</v>
      </c>
      <c r="E1327">
        <v>2</v>
      </c>
      <c r="F1327" t="s">
        <v>168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199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166</v>
      </c>
      <c r="E1328">
        <v>2</v>
      </c>
      <c r="F1328" t="s">
        <v>168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199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172</v>
      </c>
      <c r="E1329">
        <v>2</v>
      </c>
      <c r="F1329" t="s">
        <v>182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172</v>
      </c>
      <c r="E1330">
        <v>2</v>
      </c>
      <c r="F1330" t="s">
        <v>182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172</v>
      </c>
      <c r="E1331">
        <v>2</v>
      </c>
      <c r="F1331" t="s">
        <v>182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172</v>
      </c>
      <c r="E1332">
        <v>2</v>
      </c>
      <c r="F1332" t="s">
        <v>182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172</v>
      </c>
      <c r="E1333">
        <v>2</v>
      </c>
      <c r="F1333" t="s">
        <v>182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172</v>
      </c>
      <c r="E1334">
        <v>2</v>
      </c>
      <c r="F1334" t="s">
        <v>182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172</v>
      </c>
      <c r="E1335">
        <v>2</v>
      </c>
      <c r="F1335" t="s">
        <v>182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172</v>
      </c>
      <c r="E1336">
        <v>2</v>
      </c>
      <c r="F1336" t="s">
        <v>168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199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172</v>
      </c>
      <c r="E1337">
        <v>2</v>
      </c>
      <c r="F1337" t="s">
        <v>168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198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172</v>
      </c>
      <c r="E1338">
        <v>2</v>
      </c>
      <c r="F1338" t="s">
        <v>168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199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172</v>
      </c>
      <c r="E1339">
        <v>2</v>
      </c>
      <c r="F1339" t="s">
        <v>168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199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172</v>
      </c>
      <c r="E1340">
        <v>2</v>
      </c>
      <c r="F1340" t="s">
        <v>168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198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172</v>
      </c>
      <c r="E1341">
        <v>2</v>
      </c>
      <c r="F1341" t="s">
        <v>182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172</v>
      </c>
      <c r="E1342">
        <v>2</v>
      </c>
      <c r="F1342" t="s">
        <v>181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172</v>
      </c>
      <c r="E1343">
        <v>2</v>
      </c>
      <c r="F1343" t="s">
        <v>167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172</v>
      </c>
      <c r="E1344">
        <v>2</v>
      </c>
      <c r="F1344" t="s">
        <v>181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172</v>
      </c>
      <c r="E1345">
        <v>2</v>
      </c>
      <c r="F1345" t="s">
        <v>182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172</v>
      </c>
      <c r="E1346">
        <v>2</v>
      </c>
      <c r="F1346" t="s">
        <v>182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172</v>
      </c>
      <c r="E1347">
        <v>2</v>
      </c>
      <c r="F1347" t="s">
        <v>182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172</v>
      </c>
      <c r="E1348">
        <v>2</v>
      </c>
      <c r="F1348" t="s">
        <v>182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172</v>
      </c>
      <c r="E1349">
        <v>2</v>
      </c>
      <c r="F1349" t="s">
        <v>182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172</v>
      </c>
      <c r="E1350">
        <v>2</v>
      </c>
      <c r="F1350" t="s">
        <v>168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198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172</v>
      </c>
      <c r="E1351">
        <v>2</v>
      </c>
      <c r="F1351" t="s">
        <v>168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198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172</v>
      </c>
      <c r="E1352">
        <v>2</v>
      </c>
      <c r="F1352" t="s">
        <v>168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198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172</v>
      </c>
      <c r="E1353">
        <v>2</v>
      </c>
      <c r="F1353" t="s">
        <v>168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198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172</v>
      </c>
      <c r="E1354">
        <v>2</v>
      </c>
      <c r="F1354" t="s">
        <v>168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199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172</v>
      </c>
      <c r="E1355">
        <v>2</v>
      </c>
      <c r="F1355" t="s">
        <v>168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199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172</v>
      </c>
      <c r="E1356">
        <v>2</v>
      </c>
      <c r="F1356" t="s">
        <v>168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198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172</v>
      </c>
      <c r="E1357">
        <v>2</v>
      </c>
      <c r="F1357" t="s">
        <v>168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199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172</v>
      </c>
      <c r="E1358">
        <v>2</v>
      </c>
      <c r="F1358" t="s">
        <v>168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199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172</v>
      </c>
      <c r="E1359">
        <v>2</v>
      </c>
      <c r="F1359" t="s">
        <v>167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172</v>
      </c>
      <c r="E1360">
        <v>2</v>
      </c>
      <c r="F1360" t="s">
        <v>167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172</v>
      </c>
      <c r="E1361">
        <v>2</v>
      </c>
      <c r="F1361" t="s">
        <v>182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166</v>
      </c>
      <c r="E1362">
        <v>2</v>
      </c>
      <c r="F1362" t="s">
        <v>168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199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166</v>
      </c>
      <c r="E1363">
        <v>2</v>
      </c>
      <c r="F1363" t="s">
        <v>168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199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166</v>
      </c>
      <c r="E1364">
        <v>2</v>
      </c>
      <c r="F1364" t="s">
        <v>168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199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166</v>
      </c>
      <c r="E1365">
        <v>2</v>
      </c>
      <c r="F1365" t="s">
        <v>168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198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166</v>
      </c>
      <c r="E1366">
        <v>2</v>
      </c>
      <c r="F1366" t="s">
        <v>168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199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166</v>
      </c>
      <c r="E1367">
        <v>2</v>
      </c>
      <c r="F1367" t="s">
        <v>168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199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166</v>
      </c>
      <c r="E1368">
        <v>2</v>
      </c>
      <c r="F1368" t="s">
        <v>168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199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166</v>
      </c>
      <c r="E1369">
        <v>2</v>
      </c>
      <c r="F1369" t="s">
        <v>168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199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166</v>
      </c>
      <c r="E1370">
        <v>2</v>
      </c>
      <c r="F1370" t="s">
        <v>168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199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172</v>
      </c>
      <c r="E1371">
        <v>2</v>
      </c>
      <c r="F1371" t="s">
        <v>168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198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172</v>
      </c>
      <c r="E1372">
        <v>2</v>
      </c>
      <c r="F1372" t="s">
        <v>168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199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172</v>
      </c>
      <c r="E1373">
        <v>2</v>
      </c>
      <c r="F1373" t="s">
        <v>182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172</v>
      </c>
      <c r="E1374">
        <v>2</v>
      </c>
      <c r="F1374" t="s">
        <v>168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199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172</v>
      </c>
      <c r="E1375">
        <v>2</v>
      </c>
      <c r="F1375" t="s">
        <v>181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172</v>
      </c>
      <c r="E1376">
        <v>2</v>
      </c>
      <c r="F1376" t="s">
        <v>167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166</v>
      </c>
      <c r="E1377">
        <v>2</v>
      </c>
      <c r="F1377" t="s">
        <v>167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172</v>
      </c>
      <c r="E1378">
        <v>2</v>
      </c>
      <c r="F1378" t="s">
        <v>167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172</v>
      </c>
      <c r="E1379">
        <v>2</v>
      </c>
      <c r="F1379" t="s">
        <v>182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166</v>
      </c>
      <c r="E1380">
        <v>2</v>
      </c>
      <c r="F1380" t="s">
        <v>167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172</v>
      </c>
      <c r="E1381">
        <v>2</v>
      </c>
      <c r="F1381" t="s">
        <v>182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172</v>
      </c>
      <c r="E1382">
        <v>2</v>
      </c>
      <c r="F1382" t="s">
        <v>178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172</v>
      </c>
      <c r="E1383">
        <v>2</v>
      </c>
      <c r="F1383" t="s">
        <v>182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172</v>
      </c>
      <c r="E1384">
        <v>2</v>
      </c>
      <c r="F1384" t="s">
        <v>178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172</v>
      </c>
      <c r="E1385">
        <v>2</v>
      </c>
      <c r="F1385" t="s">
        <v>167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166</v>
      </c>
      <c r="E1386">
        <v>2</v>
      </c>
      <c r="F1386" t="s">
        <v>167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166</v>
      </c>
      <c r="E1387">
        <v>2</v>
      </c>
      <c r="F1387" t="s">
        <v>181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172</v>
      </c>
      <c r="E1388">
        <v>2</v>
      </c>
      <c r="F1388" t="s">
        <v>174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172</v>
      </c>
      <c r="E1389">
        <v>2</v>
      </c>
      <c r="F1389" t="s">
        <v>178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172</v>
      </c>
      <c r="E1390">
        <v>2</v>
      </c>
      <c r="F1390" t="s">
        <v>178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172</v>
      </c>
      <c r="E1391">
        <v>2</v>
      </c>
      <c r="F1391" t="s">
        <v>178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172</v>
      </c>
      <c r="E1392">
        <v>2</v>
      </c>
      <c r="F1392" t="s">
        <v>178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172</v>
      </c>
      <c r="E1393">
        <v>2</v>
      </c>
      <c r="F1393" t="s">
        <v>178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172</v>
      </c>
      <c r="E1394">
        <v>2</v>
      </c>
      <c r="F1394" t="s">
        <v>178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172</v>
      </c>
      <c r="E1395">
        <v>2</v>
      </c>
      <c r="F1395" t="s">
        <v>178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172</v>
      </c>
      <c r="E1396">
        <v>2</v>
      </c>
      <c r="F1396" t="s">
        <v>178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172</v>
      </c>
      <c r="E1397">
        <v>2</v>
      </c>
      <c r="F1397" t="s">
        <v>181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172</v>
      </c>
      <c r="E1398">
        <v>2</v>
      </c>
      <c r="F1398" t="s">
        <v>178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172</v>
      </c>
      <c r="E1399">
        <v>2</v>
      </c>
      <c r="F1399" t="s">
        <v>178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172</v>
      </c>
      <c r="E1400">
        <v>2</v>
      </c>
      <c r="F1400" t="s">
        <v>178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172</v>
      </c>
      <c r="E1401">
        <v>2</v>
      </c>
      <c r="F1401" t="s">
        <v>168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198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172</v>
      </c>
      <c r="E1402">
        <v>2</v>
      </c>
      <c r="F1402" t="s">
        <v>168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199</v>
      </c>
      <c r="N1402">
        <v>40</v>
      </c>
      <c r="T1402" t="str">
        <f t="shared" si="160"/>
        <v/>
      </c>
    </row>
    <row r="1403" spans="1:20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172</v>
      </c>
      <c r="E1403">
        <v>2</v>
      </c>
      <c r="F1403" t="s">
        <v>174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172</v>
      </c>
      <c r="E1404">
        <v>2</v>
      </c>
      <c r="F1404" t="s">
        <v>178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172</v>
      </c>
      <c r="E1405">
        <v>2</v>
      </c>
      <c r="F1405" t="s">
        <v>178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172</v>
      </c>
      <c r="E1406">
        <v>2</v>
      </c>
      <c r="F1406" t="s">
        <v>178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172</v>
      </c>
      <c r="E1407">
        <v>2</v>
      </c>
      <c r="F1407" t="s">
        <v>178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172</v>
      </c>
      <c r="E1408">
        <v>2</v>
      </c>
      <c r="F1408" t="s">
        <v>178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172</v>
      </c>
      <c r="E1409">
        <v>2</v>
      </c>
      <c r="F1409" t="s">
        <v>178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172</v>
      </c>
      <c r="E1410">
        <v>2</v>
      </c>
      <c r="F1410" t="s">
        <v>178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172</v>
      </c>
      <c r="E1411">
        <v>2</v>
      </c>
      <c r="F1411" t="s">
        <v>178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172</v>
      </c>
      <c r="E1412">
        <v>2</v>
      </c>
      <c r="F1412" t="s">
        <v>178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172</v>
      </c>
      <c r="E1413">
        <v>2</v>
      </c>
      <c r="F1413" t="s">
        <v>178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172</v>
      </c>
      <c r="E1414">
        <v>2</v>
      </c>
      <c r="F1414" t="s">
        <v>178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172</v>
      </c>
      <c r="E1415">
        <v>2</v>
      </c>
      <c r="F1415" t="s">
        <v>178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172</v>
      </c>
      <c r="E1416">
        <v>2</v>
      </c>
      <c r="F1416" t="s">
        <v>178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172</v>
      </c>
      <c r="E1417">
        <v>2</v>
      </c>
      <c r="F1417" t="s">
        <v>178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172</v>
      </c>
      <c r="E1418">
        <v>2</v>
      </c>
      <c r="F1418" t="s">
        <v>178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172</v>
      </c>
      <c r="E1419">
        <v>2</v>
      </c>
      <c r="F1419" t="s">
        <v>178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172</v>
      </c>
      <c r="E1420">
        <v>2</v>
      </c>
      <c r="F1420" t="s">
        <v>178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172</v>
      </c>
      <c r="E1421">
        <v>2</v>
      </c>
      <c r="F1421" t="s">
        <v>178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172</v>
      </c>
      <c r="E1422">
        <v>2</v>
      </c>
      <c r="F1422" t="s">
        <v>178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172</v>
      </c>
      <c r="E1423">
        <v>2</v>
      </c>
      <c r="F1423" t="s">
        <v>178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172</v>
      </c>
      <c r="E1424">
        <v>2</v>
      </c>
      <c r="F1424" t="s">
        <v>178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172</v>
      </c>
      <c r="E1425">
        <v>2</v>
      </c>
      <c r="F1425" t="s">
        <v>178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172</v>
      </c>
      <c r="E1426">
        <v>2</v>
      </c>
      <c r="F1426" t="s">
        <v>178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172</v>
      </c>
      <c r="E1427">
        <v>2</v>
      </c>
      <c r="F1427" t="s">
        <v>178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172</v>
      </c>
      <c r="E1428">
        <v>2</v>
      </c>
      <c r="F1428" t="s">
        <v>168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199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172</v>
      </c>
      <c r="E1429">
        <v>2</v>
      </c>
      <c r="F1429" t="s">
        <v>168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199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172</v>
      </c>
      <c r="E1430">
        <v>2</v>
      </c>
      <c r="F1430" t="s">
        <v>168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198</v>
      </c>
      <c r="N1430">
        <v>30</v>
      </c>
      <c r="T1430" t="str">
        <f t="shared" si="160"/>
        <v/>
      </c>
    </row>
    <row r="1431" spans="1:20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172</v>
      </c>
      <c r="E1431">
        <v>2</v>
      </c>
      <c r="F1431" t="s">
        <v>178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172</v>
      </c>
      <c r="E1432">
        <v>2</v>
      </c>
      <c r="F1432" t="s">
        <v>178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172</v>
      </c>
      <c r="E1433">
        <v>2</v>
      </c>
      <c r="F1433" t="s">
        <v>178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172</v>
      </c>
      <c r="E1434">
        <v>2</v>
      </c>
      <c r="F1434" t="s">
        <v>181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172</v>
      </c>
      <c r="E1435">
        <v>2</v>
      </c>
      <c r="F1435" t="s">
        <v>167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166</v>
      </c>
      <c r="E1436">
        <v>2</v>
      </c>
      <c r="F1436" t="s">
        <v>167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172</v>
      </c>
      <c r="E1437">
        <v>2</v>
      </c>
      <c r="F1437" t="s">
        <v>178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172</v>
      </c>
      <c r="E1438">
        <v>2</v>
      </c>
      <c r="F1438" t="s">
        <v>178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172</v>
      </c>
      <c r="E1439">
        <v>2</v>
      </c>
      <c r="F1439" t="s">
        <v>178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172</v>
      </c>
      <c r="E1440">
        <v>2</v>
      </c>
      <c r="F1440" t="s">
        <v>178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172</v>
      </c>
      <c r="E1441">
        <v>2</v>
      </c>
      <c r="F1441" t="s">
        <v>178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172</v>
      </c>
      <c r="E1442">
        <v>2</v>
      </c>
      <c r="F1442" t="s">
        <v>178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172</v>
      </c>
      <c r="E1443">
        <v>2</v>
      </c>
      <c r="F1443" t="s">
        <v>178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172</v>
      </c>
      <c r="E1444">
        <v>2</v>
      </c>
      <c r="F1444" t="s">
        <v>178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172</v>
      </c>
      <c r="E1445">
        <v>2</v>
      </c>
      <c r="F1445" t="s">
        <v>178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172</v>
      </c>
      <c r="E1446">
        <v>2</v>
      </c>
      <c r="F1446" t="s">
        <v>178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172</v>
      </c>
      <c r="E1447">
        <v>2</v>
      </c>
      <c r="F1447" t="s">
        <v>178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172</v>
      </c>
      <c r="E1448">
        <v>2</v>
      </c>
      <c r="F1448" t="s">
        <v>178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172</v>
      </c>
      <c r="E1449">
        <v>2</v>
      </c>
      <c r="F1449" t="s">
        <v>178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172</v>
      </c>
      <c r="E1450">
        <v>2</v>
      </c>
      <c r="F1450" t="s">
        <v>178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172</v>
      </c>
      <c r="E1451">
        <v>2</v>
      </c>
      <c r="F1451" t="s">
        <v>178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172</v>
      </c>
      <c r="E1452">
        <v>2</v>
      </c>
      <c r="F1452" t="s">
        <v>178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172</v>
      </c>
      <c r="E1453">
        <v>2</v>
      </c>
      <c r="F1453" t="s">
        <v>178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172</v>
      </c>
      <c r="E1454">
        <v>2</v>
      </c>
      <c r="F1454" t="s">
        <v>178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172</v>
      </c>
      <c r="E1455">
        <v>2</v>
      </c>
      <c r="F1455" t="s">
        <v>174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172</v>
      </c>
      <c r="E1456">
        <v>2</v>
      </c>
      <c r="F1456" t="s">
        <v>174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172</v>
      </c>
      <c r="E1457">
        <v>2</v>
      </c>
      <c r="F1457" t="s">
        <v>178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172</v>
      </c>
      <c r="E1458">
        <v>2</v>
      </c>
      <c r="F1458" t="s">
        <v>178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172</v>
      </c>
      <c r="E1459">
        <v>2</v>
      </c>
      <c r="F1459" t="s">
        <v>178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172</v>
      </c>
      <c r="E1460">
        <v>2</v>
      </c>
      <c r="F1460" t="s">
        <v>178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172</v>
      </c>
      <c r="E1461">
        <v>2</v>
      </c>
      <c r="F1461" t="s">
        <v>178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172</v>
      </c>
      <c r="E1462">
        <v>2</v>
      </c>
      <c r="F1462" t="s">
        <v>178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172</v>
      </c>
      <c r="E1463">
        <v>2</v>
      </c>
      <c r="F1463" t="s">
        <v>178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172</v>
      </c>
      <c r="E1464">
        <v>2</v>
      </c>
      <c r="F1464" t="s">
        <v>178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172</v>
      </c>
      <c r="E1465">
        <v>2</v>
      </c>
      <c r="F1465" t="s">
        <v>178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172</v>
      </c>
      <c r="E1466">
        <v>2</v>
      </c>
      <c r="F1466" t="s">
        <v>168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199</v>
      </c>
      <c r="N1466">
        <v>23</v>
      </c>
      <c r="T1466" t="str">
        <f t="shared" si="167"/>
        <v/>
      </c>
    </row>
    <row r="1467" spans="1:20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172</v>
      </c>
      <c r="E1467">
        <v>2</v>
      </c>
      <c r="F1467" t="s">
        <v>185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172</v>
      </c>
      <c r="E1468">
        <v>2</v>
      </c>
      <c r="F1468" t="s">
        <v>167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172</v>
      </c>
      <c r="E1469">
        <v>2</v>
      </c>
      <c r="F1469" t="s">
        <v>178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172</v>
      </c>
      <c r="E1470">
        <v>2</v>
      </c>
      <c r="F1470" t="s">
        <v>178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166</v>
      </c>
      <c r="E1471">
        <v>2</v>
      </c>
      <c r="F1471" t="s">
        <v>168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199</v>
      </c>
      <c r="N1471">
        <v>31</v>
      </c>
      <c r="T1471" t="str">
        <f t="shared" si="167"/>
        <v/>
      </c>
    </row>
    <row r="1472" spans="1:20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172</v>
      </c>
      <c r="E1472">
        <v>2</v>
      </c>
      <c r="F1472" t="s">
        <v>178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172</v>
      </c>
      <c r="E1473">
        <v>2</v>
      </c>
      <c r="F1473" t="s">
        <v>178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172</v>
      </c>
      <c r="E1474">
        <v>2</v>
      </c>
      <c r="F1474" t="s">
        <v>178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172</v>
      </c>
      <c r="E1475">
        <v>2</v>
      </c>
      <c r="F1475" t="s">
        <v>178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172</v>
      </c>
      <c r="E1476">
        <v>2</v>
      </c>
      <c r="F1476" t="s">
        <v>178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172</v>
      </c>
      <c r="E1477">
        <v>2</v>
      </c>
      <c r="F1477" t="s">
        <v>178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172</v>
      </c>
      <c r="E1478">
        <v>2</v>
      </c>
      <c r="F1478" t="s">
        <v>178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172</v>
      </c>
      <c r="E1479">
        <v>2</v>
      </c>
      <c r="F1479" t="s">
        <v>178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172</v>
      </c>
      <c r="E1480">
        <v>2</v>
      </c>
      <c r="F1480" t="s">
        <v>182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172</v>
      </c>
      <c r="E1481">
        <v>2</v>
      </c>
      <c r="F1481" t="s">
        <v>182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172</v>
      </c>
      <c r="E1482">
        <v>2</v>
      </c>
      <c r="F1482" t="s">
        <v>182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172</v>
      </c>
      <c r="E1483">
        <v>2</v>
      </c>
      <c r="F1483" t="s">
        <v>182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172</v>
      </c>
      <c r="E1484">
        <v>2</v>
      </c>
      <c r="F1484" t="s">
        <v>182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172</v>
      </c>
      <c r="E1485">
        <v>2</v>
      </c>
      <c r="F1485" t="s">
        <v>182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172</v>
      </c>
      <c r="E1486">
        <v>2</v>
      </c>
      <c r="F1486" t="s">
        <v>182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172</v>
      </c>
      <c r="E1487">
        <v>2</v>
      </c>
      <c r="F1487" t="s">
        <v>182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172</v>
      </c>
      <c r="E1488">
        <v>2</v>
      </c>
      <c r="F1488" t="s">
        <v>182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172</v>
      </c>
      <c r="E1489">
        <v>2</v>
      </c>
      <c r="F1489" t="s">
        <v>182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172</v>
      </c>
      <c r="E1490">
        <v>2</v>
      </c>
      <c r="F1490" t="s">
        <v>182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172</v>
      </c>
      <c r="E1491">
        <v>2</v>
      </c>
      <c r="F1491" t="s">
        <v>182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172</v>
      </c>
      <c r="E1492">
        <v>2</v>
      </c>
      <c r="F1492" t="s">
        <v>182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172</v>
      </c>
      <c r="E1493">
        <v>2</v>
      </c>
      <c r="F1493" t="s">
        <v>168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199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172</v>
      </c>
      <c r="E1494">
        <v>2</v>
      </c>
      <c r="F1494" t="s">
        <v>168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199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172</v>
      </c>
      <c r="E1495">
        <v>2</v>
      </c>
      <c r="F1495" t="s">
        <v>168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199</v>
      </c>
      <c r="N1495">
        <v>29</v>
      </c>
      <c r="T1495" t="str">
        <f t="shared" si="167"/>
        <v/>
      </c>
    </row>
    <row r="1496" spans="1:20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172</v>
      </c>
      <c r="E1496">
        <v>2</v>
      </c>
      <c r="F1496" t="s">
        <v>182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172</v>
      </c>
      <c r="E1497">
        <v>2</v>
      </c>
      <c r="F1497" t="s">
        <v>182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172</v>
      </c>
      <c r="E1498">
        <v>2</v>
      </c>
      <c r="F1498" t="s">
        <v>182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172</v>
      </c>
      <c r="E1499">
        <v>2</v>
      </c>
      <c r="F1499" t="s">
        <v>182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172</v>
      </c>
      <c r="E1500">
        <v>2</v>
      </c>
      <c r="F1500" t="s">
        <v>182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172</v>
      </c>
      <c r="E1501">
        <v>2</v>
      </c>
      <c r="F1501" t="s">
        <v>181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172</v>
      </c>
      <c r="E1502">
        <v>2</v>
      </c>
      <c r="F1502" t="s">
        <v>178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172</v>
      </c>
      <c r="E1503">
        <v>2</v>
      </c>
      <c r="F1503" t="s">
        <v>178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172</v>
      </c>
      <c r="E1504">
        <v>2</v>
      </c>
      <c r="F1504" t="s">
        <v>178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172</v>
      </c>
      <c r="E1505">
        <v>2</v>
      </c>
      <c r="F1505" t="s">
        <v>182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172</v>
      </c>
      <c r="E1506">
        <v>2</v>
      </c>
      <c r="F1506" t="s">
        <v>182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172</v>
      </c>
      <c r="E1507">
        <v>2</v>
      </c>
      <c r="F1507" t="s">
        <v>167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172</v>
      </c>
      <c r="E1508">
        <v>2</v>
      </c>
      <c r="F1508" t="s">
        <v>182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166</v>
      </c>
      <c r="E1509">
        <v>2</v>
      </c>
      <c r="F1509" t="s">
        <v>181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172</v>
      </c>
      <c r="E1510">
        <v>2</v>
      </c>
      <c r="F1510" t="s">
        <v>182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172</v>
      </c>
      <c r="E1511">
        <v>2</v>
      </c>
      <c r="F1511" t="s">
        <v>182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172</v>
      </c>
      <c r="E1512">
        <v>2</v>
      </c>
      <c r="F1512" t="s">
        <v>182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172</v>
      </c>
      <c r="E1513">
        <v>2</v>
      </c>
      <c r="F1513" t="s">
        <v>181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172</v>
      </c>
      <c r="E1514">
        <v>2</v>
      </c>
      <c r="F1514" t="s">
        <v>182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172</v>
      </c>
      <c r="E1515">
        <v>2</v>
      </c>
      <c r="F1515" t="s">
        <v>167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166</v>
      </c>
      <c r="E1516">
        <v>2</v>
      </c>
      <c r="F1516" t="s">
        <v>168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199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166</v>
      </c>
      <c r="E1517">
        <v>2</v>
      </c>
      <c r="F1517" t="s">
        <v>168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199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166</v>
      </c>
      <c r="E1518">
        <v>2</v>
      </c>
      <c r="F1518" t="s">
        <v>168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199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166</v>
      </c>
      <c r="E1519">
        <v>2</v>
      </c>
      <c r="F1519" t="s">
        <v>168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199</v>
      </c>
      <c r="N1519">
        <v>24</v>
      </c>
      <c r="T1519" t="str">
        <f t="shared" si="167"/>
        <v/>
      </c>
    </row>
    <row r="1520" spans="1:20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166</v>
      </c>
      <c r="E1520">
        <v>2</v>
      </c>
      <c r="F1520" t="s">
        <v>167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172</v>
      </c>
      <c r="E1521">
        <v>2</v>
      </c>
      <c r="F1521" t="s">
        <v>178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172</v>
      </c>
      <c r="E1522">
        <v>2</v>
      </c>
      <c r="F1522" t="s">
        <v>178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172</v>
      </c>
      <c r="E1523">
        <v>2</v>
      </c>
      <c r="F1523" t="s">
        <v>168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199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172</v>
      </c>
      <c r="E1524">
        <v>2</v>
      </c>
      <c r="F1524" t="s">
        <v>168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199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172</v>
      </c>
      <c r="E1525">
        <v>2</v>
      </c>
      <c r="F1525" t="s">
        <v>168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199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172</v>
      </c>
      <c r="E1526">
        <v>2</v>
      </c>
      <c r="F1526" t="s">
        <v>168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199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172</v>
      </c>
      <c r="E1527">
        <v>2</v>
      </c>
      <c r="F1527" t="s">
        <v>168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199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172</v>
      </c>
      <c r="E1528">
        <v>2</v>
      </c>
      <c r="F1528" t="s">
        <v>168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199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172</v>
      </c>
      <c r="E1529">
        <v>2</v>
      </c>
      <c r="F1529" t="s">
        <v>168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199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172</v>
      </c>
      <c r="E1530">
        <v>2</v>
      </c>
      <c r="F1530" t="s">
        <v>168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198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172</v>
      </c>
      <c r="E1531">
        <v>2</v>
      </c>
      <c r="F1531" t="s">
        <v>168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199</v>
      </c>
      <c r="N1531">
        <v>23</v>
      </c>
      <c r="T1531" t="str">
        <f t="shared" si="174"/>
        <v/>
      </c>
    </row>
    <row r="1532" spans="1:20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172</v>
      </c>
      <c r="E1532">
        <v>2</v>
      </c>
      <c r="F1532" t="s">
        <v>181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172</v>
      </c>
      <c r="E1533">
        <v>2</v>
      </c>
      <c r="F1533" t="s">
        <v>174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172</v>
      </c>
      <c r="E1534">
        <v>2</v>
      </c>
      <c r="F1534" t="s">
        <v>168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172</v>
      </c>
      <c r="E1535">
        <v>2</v>
      </c>
      <c r="F1535" t="s">
        <v>168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172</v>
      </c>
      <c r="E1536">
        <v>2</v>
      </c>
      <c r="F1536" t="s">
        <v>168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172</v>
      </c>
      <c r="E1537">
        <v>2</v>
      </c>
      <c r="F1537" t="s">
        <v>168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172</v>
      </c>
      <c r="E1538">
        <v>2</v>
      </c>
      <c r="F1538" t="s">
        <v>168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N1538">
        <v>23</v>
      </c>
      <c r="P1538">
        <v>1</v>
      </c>
      <c r="T1538" t="str">
        <f t="shared" si="174"/>
        <v/>
      </c>
    </row>
    <row r="1539" spans="1:20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172</v>
      </c>
      <c r="E1539">
        <v>2</v>
      </c>
      <c r="F1539" t="s">
        <v>167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166</v>
      </c>
      <c r="E1540">
        <v>2</v>
      </c>
      <c r="F1540" t="s">
        <v>167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172</v>
      </c>
      <c r="E1541">
        <v>2</v>
      </c>
      <c r="F1541" t="s">
        <v>168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199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172</v>
      </c>
      <c r="E1542">
        <v>2</v>
      </c>
      <c r="F1542" t="s">
        <v>168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198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172</v>
      </c>
      <c r="E1543">
        <v>2</v>
      </c>
      <c r="F1543" t="s">
        <v>168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198</v>
      </c>
      <c r="N1543">
        <v>18</v>
      </c>
      <c r="T1543" t="str">
        <f t="shared" si="174"/>
        <v/>
      </c>
    </row>
    <row r="1544" spans="1:20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172</v>
      </c>
      <c r="E1544">
        <v>2</v>
      </c>
      <c r="F1544" t="s">
        <v>167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172</v>
      </c>
      <c r="E1545">
        <v>2</v>
      </c>
      <c r="F1545" t="s">
        <v>181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172</v>
      </c>
      <c r="E1546">
        <v>2</v>
      </c>
      <c r="F1546" t="s">
        <v>178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172</v>
      </c>
      <c r="E1547">
        <v>2</v>
      </c>
      <c r="F1547" t="s">
        <v>178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172</v>
      </c>
      <c r="E1548">
        <v>2</v>
      </c>
      <c r="F1548" t="s">
        <v>168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199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172</v>
      </c>
      <c r="E1549">
        <v>2</v>
      </c>
      <c r="F1549" t="s">
        <v>168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199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172</v>
      </c>
      <c r="E1550">
        <v>2</v>
      </c>
      <c r="F1550" t="s">
        <v>168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199</v>
      </c>
      <c r="N1550">
        <v>25</v>
      </c>
      <c r="T1550" t="str">
        <f t="shared" si="174"/>
        <v/>
      </c>
    </row>
    <row r="1551" spans="1:20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172</v>
      </c>
      <c r="E1551">
        <v>2</v>
      </c>
      <c r="F1551" t="s">
        <v>181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166</v>
      </c>
      <c r="E1552">
        <v>2</v>
      </c>
      <c r="F1552" t="s">
        <v>167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172</v>
      </c>
      <c r="E1553">
        <v>2</v>
      </c>
      <c r="F1553" t="s">
        <v>182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172</v>
      </c>
      <c r="E1554">
        <v>2</v>
      </c>
      <c r="F1554" t="s">
        <v>178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172</v>
      </c>
      <c r="E1555">
        <v>2</v>
      </c>
      <c r="F1555" t="s">
        <v>174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172</v>
      </c>
      <c r="E1556">
        <v>2</v>
      </c>
      <c r="F1556" t="s">
        <v>174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172</v>
      </c>
      <c r="E1557">
        <v>2</v>
      </c>
      <c r="F1557" t="s">
        <v>168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198</v>
      </c>
      <c r="N1557">
        <v>44.79</v>
      </c>
      <c r="O1557">
        <v>57</v>
      </c>
      <c r="T1557" t="str">
        <f t="shared" si="174"/>
        <v/>
      </c>
    </row>
    <row r="1558" spans="1:20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172</v>
      </c>
      <c r="E1558">
        <v>2</v>
      </c>
      <c r="F1558" t="s">
        <v>167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172</v>
      </c>
      <c r="E1559">
        <v>2</v>
      </c>
      <c r="F1559" t="s">
        <v>181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172</v>
      </c>
      <c r="E1560">
        <v>2</v>
      </c>
      <c r="F1560" t="s">
        <v>167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172</v>
      </c>
      <c r="E1561">
        <v>2</v>
      </c>
      <c r="F1561" t="s">
        <v>167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166</v>
      </c>
      <c r="E1562">
        <v>2</v>
      </c>
      <c r="F1562" t="s">
        <v>167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172</v>
      </c>
      <c r="E1563">
        <v>2</v>
      </c>
      <c r="F1563" t="s">
        <v>182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172</v>
      </c>
      <c r="E1564">
        <v>2</v>
      </c>
      <c r="F1564" t="s">
        <v>167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172</v>
      </c>
      <c r="E1565">
        <v>2</v>
      </c>
      <c r="F1565" t="s">
        <v>167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172</v>
      </c>
      <c r="E1566">
        <v>2</v>
      </c>
      <c r="F1566" t="s">
        <v>167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172</v>
      </c>
      <c r="E1567">
        <v>2</v>
      </c>
      <c r="F1567" t="s">
        <v>174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172</v>
      </c>
      <c r="E1568">
        <v>2</v>
      </c>
      <c r="F1568" t="s">
        <v>167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172</v>
      </c>
      <c r="E1569">
        <v>2</v>
      </c>
      <c r="F1569" t="s">
        <v>167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172</v>
      </c>
      <c r="E1570">
        <v>2</v>
      </c>
      <c r="F1570" t="s">
        <v>167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172</v>
      </c>
      <c r="E1571">
        <v>2</v>
      </c>
      <c r="F1571" t="s">
        <v>167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172</v>
      </c>
      <c r="E1572">
        <v>2</v>
      </c>
      <c r="F1572" t="s">
        <v>178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172</v>
      </c>
      <c r="E1573">
        <v>2</v>
      </c>
      <c r="F1573" t="s">
        <v>178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172</v>
      </c>
      <c r="E1574">
        <v>2</v>
      </c>
      <c r="F1574" t="s">
        <v>178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172</v>
      </c>
      <c r="E1575">
        <v>2</v>
      </c>
      <c r="F1575" t="s">
        <v>178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172</v>
      </c>
      <c r="E1576">
        <v>2</v>
      </c>
      <c r="F1576" t="s">
        <v>174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172</v>
      </c>
      <c r="E1577">
        <v>2</v>
      </c>
      <c r="F1577" t="s">
        <v>181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172</v>
      </c>
      <c r="E1578">
        <v>2</v>
      </c>
      <c r="F1578" t="s">
        <v>167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172</v>
      </c>
      <c r="E1579">
        <v>2</v>
      </c>
      <c r="F1579" t="s">
        <v>167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172</v>
      </c>
      <c r="E1580">
        <v>2</v>
      </c>
      <c r="F1580" t="s">
        <v>174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172</v>
      </c>
      <c r="E1581">
        <v>2</v>
      </c>
      <c r="F1581" t="s">
        <v>167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172</v>
      </c>
      <c r="E1582">
        <v>2</v>
      </c>
      <c r="F1582" t="s">
        <v>167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172</v>
      </c>
      <c r="E1583">
        <v>2</v>
      </c>
      <c r="F1583" t="s">
        <v>167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172</v>
      </c>
      <c r="E1584">
        <v>2</v>
      </c>
      <c r="F1584" t="s">
        <v>167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166</v>
      </c>
      <c r="E1585">
        <v>2</v>
      </c>
      <c r="F1585" t="s">
        <v>167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172</v>
      </c>
      <c r="E1586">
        <v>2</v>
      </c>
      <c r="F1586" t="s">
        <v>178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172</v>
      </c>
      <c r="E1587">
        <v>2</v>
      </c>
      <c r="F1587" t="s">
        <v>178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172</v>
      </c>
      <c r="E1588">
        <v>2</v>
      </c>
      <c r="F1588" t="s">
        <v>178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172</v>
      </c>
      <c r="E1589">
        <v>2</v>
      </c>
      <c r="F1589" t="s">
        <v>178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172</v>
      </c>
      <c r="E1590">
        <v>2</v>
      </c>
      <c r="F1590" t="s">
        <v>178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172</v>
      </c>
      <c r="E1591">
        <v>2</v>
      </c>
      <c r="F1591" t="s">
        <v>178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172</v>
      </c>
      <c r="E1592">
        <v>2</v>
      </c>
      <c r="F1592" t="s">
        <v>178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172</v>
      </c>
      <c r="E1593">
        <v>2</v>
      </c>
      <c r="F1593" t="s">
        <v>178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172</v>
      </c>
      <c r="E1594">
        <v>2</v>
      </c>
      <c r="F1594" t="s">
        <v>178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172</v>
      </c>
      <c r="E1595">
        <v>2</v>
      </c>
      <c r="F1595" t="s">
        <v>178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172</v>
      </c>
      <c r="E1596">
        <v>2</v>
      </c>
      <c r="F1596" t="s">
        <v>182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172</v>
      </c>
      <c r="E1597">
        <v>2</v>
      </c>
      <c r="F1597" t="s">
        <v>167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172</v>
      </c>
      <c r="E1598">
        <v>2</v>
      </c>
      <c r="F1598" t="s">
        <v>167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172</v>
      </c>
      <c r="E1599">
        <v>2</v>
      </c>
      <c r="F1599" t="s">
        <v>178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172</v>
      </c>
      <c r="E1600">
        <v>2</v>
      </c>
      <c r="F1600" t="s">
        <v>178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172</v>
      </c>
      <c r="E1601">
        <v>2</v>
      </c>
      <c r="F1601" t="s">
        <v>178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172</v>
      </c>
      <c r="E1602">
        <v>2</v>
      </c>
      <c r="F1602" t="s">
        <v>167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172</v>
      </c>
      <c r="E1603">
        <v>2</v>
      </c>
      <c r="F1603" t="s">
        <v>167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172</v>
      </c>
      <c r="E1604">
        <v>2</v>
      </c>
      <c r="F1604" t="s">
        <v>178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172</v>
      </c>
      <c r="E1605">
        <v>2</v>
      </c>
      <c r="F1605" t="s">
        <v>167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172</v>
      </c>
      <c r="E1606">
        <v>2</v>
      </c>
      <c r="F1606" t="s">
        <v>181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166</v>
      </c>
      <c r="E1607">
        <v>2</v>
      </c>
      <c r="F1607" t="s">
        <v>167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172</v>
      </c>
      <c r="E1608">
        <v>2</v>
      </c>
      <c r="F1608" t="s">
        <v>182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172</v>
      </c>
      <c r="E1609">
        <v>2</v>
      </c>
      <c r="F1609" t="s">
        <v>182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172</v>
      </c>
      <c r="E1610">
        <v>2</v>
      </c>
      <c r="F1610" t="s">
        <v>178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172</v>
      </c>
      <c r="E1611">
        <v>2</v>
      </c>
      <c r="F1611" t="s">
        <v>178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172</v>
      </c>
      <c r="E1612">
        <v>2</v>
      </c>
      <c r="F1612" t="s">
        <v>178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172</v>
      </c>
      <c r="E1613">
        <v>2</v>
      </c>
      <c r="F1613" t="s">
        <v>178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172</v>
      </c>
      <c r="E1614">
        <v>2</v>
      </c>
      <c r="F1614" t="s">
        <v>178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172</v>
      </c>
      <c r="E1615">
        <v>2</v>
      </c>
      <c r="F1615" t="s">
        <v>178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172</v>
      </c>
      <c r="E1616">
        <v>2</v>
      </c>
      <c r="F1616" t="s">
        <v>178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172</v>
      </c>
      <c r="E1617">
        <v>2</v>
      </c>
      <c r="F1617" t="s">
        <v>178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172</v>
      </c>
      <c r="E1618">
        <v>2</v>
      </c>
      <c r="F1618" t="s">
        <v>178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172</v>
      </c>
      <c r="E1619">
        <v>2</v>
      </c>
      <c r="F1619" t="s">
        <v>167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172</v>
      </c>
      <c r="E1620">
        <v>2</v>
      </c>
      <c r="F1620" t="s">
        <v>167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172</v>
      </c>
      <c r="E1621">
        <v>2</v>
      </c>
      <c r="F1621" t="s">
        <v>167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166</v>
      </c>
      <c r="E1622">
        <v>2</v>
      </c>
      <c r="F1622" t="s">
        <v>167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172</v>
      </c>
      <c r="E1623">
        <v>2</v>
      </c>
      <c r="F1623" t="s">
        <v>178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172</v>
      </c>
      <c r="E1624">
        <v>2</v>
      </c>
      <c r="F1624" t="s">
        <v>178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172</v>
      </c>
      <c r="E1625">
        <v>2</v>
      </c>
      <c r="F1625" t="s">
        <v>178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172</v>
      </c>
      <c r="E1626">
        <v>2</v>
      </c>
      <c r="F1626" t="s">
        <v>178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172</v>
      </c>
      <c r="E1627">
        <v>2</v>
      </c>
      <c r="F1627" t="s">
        <v>178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172</v>
      </c>
      <c r="E1628">
        <v>2</v>
      </c>
      <c r="F1628" t="s">
        <v>181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172</v>
      </c>
      <c r="E1629">
        <v>2</v>
      </c>
      <c r="F1629" t="s">
        <v>167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172</v>
      </c>
      <c r="E1630">
        <v>2</v>
      </c>
      <c r="F1630" t="s">
        <v>167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172</v>
      </c>
      <c r="E1631">
        <v>2</v>
      </c>
      <c r="F1631" t="s">
        <v>181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172</v>
      </c>
      <c r="E1632">
        <v>2</v>
      </c>
      <c r="F1632" t="s">
        <v>168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198</v>
      </c>
      <c r="N1632">
        <v>30.37</v>
      </c>
      <c r="O1632">
        <v>21</v>
      </c>
      <c r="T1632" t="str">
        <f t="shared" si="181"/>
        <v/>
      </c>
    </row>
    <row r="1633" spans="1:20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172</v>
      </c>
      <c r="E1633">
        <v>2</v>
      </c>
      <c r="F1633" t="s">
        <v>167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172</v>
      </c>
      <c r="E1634">
        <v>2</v>
      </c>
      <c r="F1634" t="s">
        <v>167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166</v>
      </c>
      <c r="E1635">
        <v>2</v>
      </c>
      <c r="F1635" t="s">
        <v>167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172</v>
      </c>
      <c r="E1636">
        <v>2</v>
      </c>
      <c r="F1636" t="s">
        <v>178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172</v>
      </c>
      <c r="E1637">
        <v>2</v>
      </c>
      <c r="F1637" t="s">
        <v>167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172</v>
      </c>
      <c r="E1638">
        <v>2</v>
      </c>
      <c r="F1638" t="s">
        <v>181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172</v>
      </c>
      <c r="E1639">
        <v>2</v>
      </c>
      <c r="F1639" t="s">
        <v>168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198</v>
      </c>
      <c r="N1639">
        <v>40.08</v>
      </c>
      <c r="R1639">
        <v>1</v>
      </c>
      <c r="T1639" t="str">
        <f t="shared" si="181"/>
        <v/>
      </c>
    </row>
    <row r="1640" spans="1:20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172</v>
      </c>
      <c r="E1640">
        <v>2</v>
      </c>
      <c r="F1640" t="s">
        <v>178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172</v>
      </c>
      <c r="E1641">
        <v>2</v>
      </c>
      <c r="F1641" t="s">
        <v>178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172</v>
      </c>
      <c r="E1642">
        <v>2</v>
      </c>
      <c r="F1642" t="s">
        <v>178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172</v>
      </c>
      <c r="E1643">
        <v>2</v>
      </c>
      <c r="F1643" t="s">
        <v>178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172</v>
      </c>
      <c r="E1644">
        <v>2</v>
      </c>
      <c r="F1644" t="s">
        <v>178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172</v>
      </c>
      <c r="E1645">
        <v>2</v>
      </c>
      <c r="F1645" t="s">
        <v>178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172</v>
      </c>
      <c r="E1646">
        <v>2</v>
      </c>
      <c r="F1646" t="s">
        <v>178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172</v>
      </c>
      <c r="E1647">
        <v>2</v>
      </c>
      <c r="F1647" t="s">
        <v>178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172</v>
      </c>
      <c r="E1648">
        <v>2</v>
      </c>
      <c r="F1648" t="s">
        <v>178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172</v>
      </c>
      <c r="E1649">
        <v>2</v>
      </c>
      <c r="F1649" t="s">
        <v>181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172</v>
      </c>
      <c r="E1650">
        <v>2</v>
      </c>
      <c r="F1650" t="s">
        <v>167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172</v>
      </c>
      <c r="E1651">
        <v>2</v>
      </c>
      <c r="F1651" t="s">
        <v>178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172</v>
      </c>
      <c r="E1652">
        <v>2</v>
      </c>
      <c r="F1652" t="s">
        <v>167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166</v>
      </c>
      <c r="E1653">
        <v>2</v>
      </c>
      <c r="F1653" t="s">
        <v>167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166</v>
      </c>
      <c r="E1654">
        <v>2</v>
      </c>
      <c r="F1654" t="s">
        <v>168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199</v>
      </c>
      <c r="N1654">
        <v>24.26</v>
      </c>
      <c r="O1654">
        <v>10</v>
      </c>
      <c r="T1654" t="str">
        <f t="shared" si="188"/>
        <v/>
      </c>
    </row>
    <row r="1655" spans="1:20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172</v>
      </c>
      <c r="E1655">
        <v>2</v>
      </c>
      <c r="F1655" t="s">
        <v>178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172</v>
      </c>
      <c r="E1656">
        <v>2</v>
      </c>
      <c r="F1656" t="s">
        <v>174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172</v>
      </c>
      <c r="E1657">
        <v>2</v>
      </c>
      <c r="F1657" t="s">
        <v>168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199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172</v>
      </c>
      <c r="E1658">
        <v>2</v>
      </c>
      <c r="F1658" t="s">
        <v>168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199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172</v>
      </c>
      <c r="E1659">
        <v>2</v>
      </c>
      <c r="F1659" t="s">
        <v>168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199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172</v>
      </c>
      <c r="E1660">
        <v>2</v>
      </c>
      <c r="F1660" t="s">
        <v>168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199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172</v>
      </c>
      <c r="E1661">
        <v>2</v>
      </c>
      <c r="F1661" t="s">
        <v>168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199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172</v>
      </c>
      <c r="E1662">
        <v>2</v>
      </c>
      <c r="F1662" t="s">
        <v>168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198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172</v>
      </c>
      <c r="E1663">
        <v>2</v>
      </c>
      <c r="F1663" t="s">
        <v>168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198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172</v>
      </c>
      <c r="E1664">
        <v>2</v>
      </c>
      <c r="F1664" t="s">
        <v>168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199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172</v>
      </c>
      <c r="E1665">
        <v>2</v>
      </c>
      <c r="F1665" t="s">
        <v>168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199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172</v>
      </c>
      <c r="E1666">
        <v>2</v>
      </c>
      <c r="F1666" t="s">
        <v>168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199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172</v>
      </c>
      <c r="E1667">
        <v>2</v>
      </c>
      <c r="F1667" t="s">
        <v>168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199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172</v>
      </c>
      <c r="E1668">
        <v>2</v>
      </c>
      <c r="F1668" t="s">
        <v>168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198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172</v>
      </c>
      <c r="E1669">
        <v>2</v>
      </c>
      <c r="F1669" t="s">
        <v>168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199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172</v>
      </c>
      <c r="E1670">
        <v>2</v>
      </c>
      <c r="F1670" t="s">
        <v>168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198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172</v>
      </c>
      <c r="E1671">
        <v>2</v>
      </c>
      <c r="F1671" t="s">
        <v>168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199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172</v>
      </c>
      <c r="E1672">
        <v>2</v>
      </c>
      <c r="F1672" t="s">
        <v>168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198</v>
      </c>
      <c r="N1672">
        <v>17.190000000000001</v>
      </c>
      <c r="O1672">
        <v>4</v>
      </c>
      <c r="T1672" t="str">
        <f t="shared" si="188"/>
        <v/>
      </c>
    </row>
    <row r="1673" spans="1:20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172</v>
      </c>
      <c r="E1673">
        <v>2</v>
      </c>
      <c r="F1673" t="s">
        <v>178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172</v>
      </c>
      <c r="E1674">
        <v>2</v>
      </c>
      <c r="F1674" t="s">
        <v>178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172</v>
      </c>
      <c r="E1675">
        <v>2</v>
      </c>
      <c r="F1675" t="s">
        <v>182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172</v>
      </c>
      <c r="E1676">
        <v>2</v>
      </c>
      <c r="F1676" t="s">
        <v>178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172</v>
      </c>
      <c r="E1677">
        <v>2</v>
      </c>
      <c r="F1677" t="s">
        <v>167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172</v>
      </c>
      <c r="E1678">
        <v>2</v>
      </c>
      <c r="F1678" t="s">
        <v>168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172</v>
      </c>
      <c r="E1679">
        <v>2</v>
      </c>
      <c r="F1679" t="s">
        <v>167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172</v>
      </c>
      <c r="E1680">
        <v>2</v>
      </c>
      <c r="F1680" t="s">
        <v>181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166</v>
      </c>
      <c r="E1681">
        <v>2</v>
      </c>
      <c r="F1681" t="s">
        <v>167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166</v>
      </c>
      <c r="E1682">
        <v>2</v>
      </c>
      <c r="F1682" t="s">
        <v>168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172</v>
      </c>
      <c r="E1683">
        <v>2</v>
      </c>
      <c r="F1683" t="s">
        <v>178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172</v>
      </c>
      <c r="E1684">
        <v>2</v>
      </c>
      <c r="F1684" t="s">
        <v>178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172</v>
      </c>
      <c r="E1685">
        <v>2</v>
      </c>
      <c r="F1685" t="s">
        <v>178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172</v>
      </c>
      <c r="E1686">
        <v>2</v>
      </c>
      <c r="F1686" t="s">
        <v>178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172</v>
      </c>
      <c r="E1687">
        <v>2</v>
      </c>
      <c r="F1687" t="s">
        <v>178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172</v>
      </c>
      <c r="E1688">
        <v>2</v>
      </c>
      <c r="F1688" t="s">
        <v>178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172</v>
      </c>
      <c r="E1689">
        <v>2</v>
      </c>
      <c r="F1689" t="s">
        <v>167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166</v>
      </c>
      <c r="E1690">
        <v>2</v>
      </c>
      <c r="F1690" t="s">
        <v>168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199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166</v>
      </c>
      <c r="E1691">
        <v>2</v>
      </c>
      <c r="F1691" t="s">
        <v>168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199</v>
      </c>
      <c r="N1691">
        <v>33.81</v>
      </c>
      <c r="O1691">
        <v>24</v>
      </c>
      <c r="T1691" t="str">
        <f t="shared" si="188"/>
        <v/>
      </c>
    </row>
    <row r="1692" spans="1:20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166</v>
      </c>
      <c r="E1692">
        <v>2</v>
      </c>
      <c r="F1692" t="s">
        <v>167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172</v>
      </c>
      <c r="E1693">
        <v>2</v>
      </c>
      <c r="F1693" t="s">
        <v>168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199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172</v>
      </c>
      <c r="E1694">
        <v>2</v>
      </c>
      <c r="F1694" t="s">
        <v>168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199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172</v>
      </c>
      <c r="E1695">
        <v>2</v>
      </c>
      <c r="F1695" t="s">
        <v>168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198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172</v>
      </c>
      <c r="E1696">
        <v>2</v>
      </c>
      <c r="F1696" t="s">
        <v>168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199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172</v>
      </c>
      <c r="E1697">
        <v>2</v>
      </c>
      <c r="F1697" t="s">
        <v>168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198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172</v>
      </c>
      <c r="E1698">
        <v>2</v>
      </c>
      <c r="F1698" t="s">
        <v>168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198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172</v>
      </c>
      <c r="E1699">
        <v>2</v>
      </c>
      <c r="F1699" t="s">
        <v>168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199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172</v>
      </c>
      <c r="E1700">
        <v>2</v>
      </c>
      <c r="F1700" t="s">
        <v>168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199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172</v>
      </c>
      <c r="E1701">
        <v>2</v>
      </c>
      <c r="F1701" t="s">
        <v>168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199</v>
      </c>
      <c r="N1701">
        <v>26.44</v>
      </c>
      <c r="O1701">
        <v>19</v>
      </c>
    </row>
    <row r="1702" spans="1:20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172</v>
      </c>
      <c r="E1702">
        <v>2</v>
      </c>
      <c r="F1702" t="s">
        <v>167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172</v>
      </c>
      <c r="E1703">
        <v>2</v>
      </c>
      <c r="F1703" t="s">
        <v>181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172</v>
      </c>
      <c r="E1704">
        <v>2</v>
      </c>
      <c r="F1704" t="s">
        <v>178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172</v>
      </c>
      <c r="E1705">
        <v>2</v>
      </c>
      <c r="F1705" t="s">
        <v>178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172</v>
      </c>
      <c r="E1706">
        <v>2</v>
      </c>
      <c r="F1706" t="s">
        <v>178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172</v>
      </c>
      <c r="E1707">
        <v>2</v>
      </c>
      <c r="F1707" t="s">
        <v>168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199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172</v>
      </c>
      <c r="E1708">
        <v>2</v>
      </c>
      <c r="F1708" t="s">
        <v>168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199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172</v>
      </c>
      <c r="E1709">
        <v>2</v>
      </c>
      <c r="F1709" t="s">
        <v>168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199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172</v>
      </c>
      <c r="E1710">
        <v>2</v>
      </c>
      <c r="F1710" t="s">
        <v>168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199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172</v>
      </c>
      <c r="E1711">
        <v>2</v>
      </c>
      <c r="F1711" t="s">
        <v>168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199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172</v>
      </c>
      <c r="E1712">
        <v>2</v>
      </c>
      <c r="F1712" t="s">
        <v>168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198</v>
      </c>
      <c r="N1712">
        <v>30.88</v>
      </c>
      <c r="O1712">
        <v>25</v>
      </c>
      <c r="T1712" t="str">
        <f t="shared" si="188"/>
        <v/>
      </c>
    </row>
    <row r="1713" spans="1:20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172</v>
      </c>
      <c r="E1713">
        <v>2</v>
      </c>
      <c r="F1713" t="s">
        <v>167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172</v>
      </c>
      <c r="E1714">
        <v>2</v>
      </c>
      <c r="F1714" t="s">
        <v>167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172</v>
      </c>
      <c r="E1715">
        <v>2</v>
      </c>
      <c r="F1715" t="s">
        <v>167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166</v>
      </c>
      <c r="E1716">
        <v>2</v>
      </c>
      <c r="F1716" t="s">
        <v>167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166</v>
      </c>
      <c r="E1717">
        <v>2</v>
      </c>
      <c r="F1717" t="s">
        <v>168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199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166</v>
      </c>
      <c r="E1718">
        <v>2</v>
      </c>
      <c r="F1718" t="s">
        <v>168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199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166</v>
      </c>
      <c r="E1719">
        <v>2</v>
      </c>
      <c r="F1719" t="s">
        <v>168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199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166</v>
      </c>
      <c r="E1720">
        <v>2</v>
      </c>
      <c r="F1720" t="s">
        <v>168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199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166</v>
      </c>
      <c r="E1721">
        <v>2</v>
      </c>
      <c r="F1721" t="s">
        <v>168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198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166</v>
      </c>
      <c r="E1722">
        <v>2</v>
      </c>
      <c r="F1722" t="s">
        <v>168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199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166</v>
      </c>
      <c r="E1723">
        <v>2</v>
      </c>
      <c r="F1723" t="s">
        <v>168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199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166</v>
      </c>
      <c r="E1724">
        <v>2</v>
      </c>
      <c r="F1724" t="s">
        <v>168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199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166</v>
      </c>
      <c r="E1725">
        <v>2</v>
      </c>
      <c r="F1725" t="s">
        <v>168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199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166</v>
      </c>
      <c r="E1726">
        <v>2</v>
      </c>
      <c r="F1726" t="s">
        <v>168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199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166</v>
      </c>
      <c r="E1727">
        <v>2</v>
      </c>
      <c r="F1727" t="s">
        <v>168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199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166</v>
      </c>
      <c r="E1728">
        <v>2</v>
      </c>
      <c r="F1728" t="s">
        <v>168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199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166</v>
      </c>
      <c r="E1729">
        <v>2</v>
      </c>
      <c r="F1729" t="s">
        <v>168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198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166</v>
      </c>
      <c r="E1730">
        <v>2</v>
      </c>
      <c r="F1730" t="s">
        <v>168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198</v>
      </c>
      <c r="N1730">
        <v>27.24</v>
      </c>
      <c r="O1730">
        <v>12</v>
      </c>
      <c r="T1730" t="str">
        <f t="shared" si="195"/>
        <v/>
      </c>
    </row>
    <row r="1731" spans="1:20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172</v>
      </c>
      <c r="E1731">
        <v>2</v>
      </c>
      <c r="F1731" t="s">
        <v>167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172</v>
      </c>
      <c r="E1732">
        <v>2</v>
      </c>
      <c r="F1732" t="s">
        <v>167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172</v>
      </c>
      <c r="E1733">
        <v>2</v>
      </c>
      <c r="F1733" t="s">
        <v>167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172</v>
      </c>
      <c r="E1734">
        <v>2</v>
      </c>
      <c r="F1734" t="s">
        <v>167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172</v>
      </c>
      <c r="E1735">
        <v>2</v>
      </c>
      <c r="F1735" t="s">
        <v>182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172</v>
      </c>
      <c r="E1736">
        <v>2</v>
      </c>
      <c r="F1736" t="s">
        <v>168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199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172</v>
      </c>
      <c r="E1737">
        <v>2</v>
      </c>
      <c r="F1737" t="s">
        <v>168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199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172</v>
      </c>
      <c r="E1738">
        <v>2</v>
      </c>
      <c r="F1738" t="s">
        <v>168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199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172</v>
      </c>
      <c r="E1739">
        <v>2</v>
      </c>
      <c r="F1739" t="s">
        <v>168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199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172</v>
      </c>
      <c r="E1740">
        <v>2</v>
      </c>
      <c r="F1740" t="s">
        <v>168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199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172</v>
      </c>
      <c r="E1741">
        <v>2</v>
      </c>
      <c r="F1741" t="s">
        <v>168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199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172</v>
      </c>
      <c r="E1742">
        <v>2</v>
      </c>
      <c r="F1742" t="s">
        <v>168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198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172</v>
      </c>
      <c r="E1743">
        <v>2</v>
      </c>
      <c r="F1743" t="s">
        <v>168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199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172</v>
      </c>
      <c r="E1744">
        <v>2</v>
      </c>
      <c r="F1744" t="s">
        <v>168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199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172</v>
      </c>
      <c r="E1745">
        <v>2</v>
      </c>
      <c r="F1745" t="s">
        <v>168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199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172</v>
      </c>
      <c r="E1746">
        <v>2</v>
      </c>
      <c r="F1746" t="s">
        <v>168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198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172</v>
      </c>
      <c r="E1747">
        <v>2</v>
      </c>
      <c r="F1747" t="s">
        <v>168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199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172</v>
      </c>
      <c r="E1748">
        <v>2</v>
      </c>
      <c r="F1748" t="s">
        <v>168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199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172</v>
      </c>
      <c r="E1749">
        <v>2</v>
      </c>
      <c r="F1749" t="s">
        <v>168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199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172</v>
      </c>
      <c r="E1750">
        <v>2</v>
      </c>
      <c r="F1750" t="s">
        <v>168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198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172</v>
      </c>
      <c r="E1751">
        <v>2</v>
      </c>
      <c r="F1751" t="s">
        <v>168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198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172</v>
      </c>
      <c r="E1752">
        <v>2</v>
      </c>
      <c r="F1752" t="s">
        <v>168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199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172</v>
      </c>
      <c r="E1753">
        <v>2</v>
      </c>
      <c r="F1753" t="s">
        <v>168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198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172</v>
      </c>
      <c r="E1754">
        <v>2</v>
      </c>
      <c r="F1754" t="s">
        <v>168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199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172</v>
      </c>
      <c r="E1755">
        <v>2</v>
      </c>
      <c r="F1755" t="s">
        <v>168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198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172</v>
      </c>
      <c r="E1756">
        <v>2</v>
      </c>
      <c r="F1756" t="s">
        <v>168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199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172</v>
      </c>
      <c r="E1757">
        <v>2</v>
      </c>
      <c r="F1757" t="s">
        <v>168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199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172</v>
      </c>
      <c r="E1758">
        <v>2</v>
      </c>
      <c r="F1758" t="s">
        <v>168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198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172</v>
      </c>
      <c r="E1759">
        <v>2</v>
      </c>
      <c r="F1759" t="s">
        <v>168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199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172</v>
      </c>
      <c r="E1760">
        <v>2</v>
      </c>
      <c r="F1760" t="s">
        <v>168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199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172</v>
      </c>
      <c r="E1761">
        <v>2</v>
      </c>
      <c r="F1761" t="s">
        <v>168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199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172</v>
      </c>
      <c r="E1762">
        <v>2</v>
      </c>
      <c r="F1762" t="s">
        <v>168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198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172</v>
      </c>
      <c r="E1763">
        <v>2</v>
      </c>
      <c r="F1763" t="s">
        <v>168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198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172</v>
      </c>
      <c r="E1764">
        <v>2</v>
      </c>
      <c r="F1764" t="s">
        <v>168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198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172</v>
      </c>
      <c r="E1765">
        <v>2</v>
      </c>
      <c r="F1765" t="s">
        <v>168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198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172</v>
      </c>
      <c r="E1766">
        <v>2</v>
      </c>
      <c r="F1766" t="s">
        <v>168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199</v>
      </c>
      <c r="N1766">
        <v>33.21</v>
      </c>
      <c r="O1766">
        <v>24</v>
      </c>
      <c r="T1766" t="str">
        <f t="shared" si="195"/>
        <v/>
      </c>
    </row>
    <row r="1767" spans="1:20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172</v>
      </c>
      <c r="E1767">
        <v>2</v>
      </c>
      <c r="F1767" t="s">
        <v>167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172</v>
      </c>
      <c r="E1768">
        <v>2</v>
      </c>
      <c r="F1768" t="s">
        <v>181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166</v>
      </c>
      <c r="E1769">
        <v>2</v>
      </c>
      <c r="F1769" t="s">
        <v>167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172</v>
      </c>
      <c r="E1770">
        <v>2</v>
      </c>
      <c r="F1770" t="s">
        <v>181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172</v>
      </c>
      <c r="E1771">
        <v>2</v>
      </c>
      <c r="F1771" t="s">
        <v>168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199</v>
      </c>
      <c r="N1771">
        <v>33.770000000000003</v>
      </c>
      <c r="O1771">
        <v>31</v>
      </c>
      <c r="T1771" t="str">
        <f t="shared" si="195"/>
        <v/>
      </c>
    </row>
    <row r="1772" spans="1:20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172</v>
      </c>
      <c r="E1772">
        <v>2</v>
      </c>
      <c r="F1772" t="s">
        <v>167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172</v>
      </c>
      <c r="E1773">
        <v>2</v>
      </c>
      <c r="F1773" t="s">
        <v>167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172</v>
      </c>
      <c r="E1774">
        <v>2</v>
      </c>
      <c r="F1774" t="s">
        <v>178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172</v>
      </c>
      <c r="E1775">
        <v>2</v>
      </c>
      <c r="F1775" t="s">
        <v>178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172</v>
      </c>
      <c r="E1776">
        <v>2</v>
      </c>
      <c r="F1776" t="s">
        <v>178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172</v>
      </c>
      <c r="E1777">
        <v>2</v>
      </c>
      <c r="F1777" t="s">
        <v>168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172</v>
      </c>
      <c r="E1778">
        <v>2</v>
      </c>
      <c r="F1778" t="s">
        <v>181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172</v>
      </c>
      <c r="E1779">
        <v>2</v>
      </c>
      <c r="F1779" t="s">
        <v>167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166</v>
      </c>
      <c r="E1780">
        <v>2</v>
      </c>
      <c r="F1780" t="s">
        <v>167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172</v>
      </c>
      <c r="E1781">
        <v>2</v>
      </c>
      <c r="F1781" t="s">
        <v>181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172</v>
      </c>
      <c r="E1782">
        <v>2</v>
      </c>
      <c r="F1782" t="s">
        <v>167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172</v>
      </c>
      <c r="E1783">
        <v>2</v>
      </c>
      <c r="F1783" t="s">
        <v>167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172</v>
      </c>
      <c r="E1784">
        <v>2</v>
      </c>
      <c r="F1784" t="s">
        <v>182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172</v>
      </c>
      <c r="E1785">
        <v>2</v>
      </c>
      <c r="F1785" t="s">
        <v>168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199</v>
      </c>
      <c r="N1785">
        <v>31.78</v>
      </c>
      <c r="O1785">
        <v>29</v>
      </c>
      <c r="T1785" t="str">
        <f t="shared" si="195"/>
        <v/>
      </c>
    </row>
    <row r="1786" spans="1:20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172</v>
      </c>
      <c r="E1786">
        <v>2</v>
      </c>
      <c r="F1786" t="s">
        <v>167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166</v>
      </c>
      <c r="E1787">
        <v>2</v>
      </c>
      <c r="F1787" t="s">
        <v>167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172</v>
      </c>
      <c r="E1788">
        <v>2</v>
      </c>
      <c r="F1788" t="s">
        <v>167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172</v>
      </c>
      <c r="E1789">
        <v>2</v>
      </c>
      <c r="F1789" t="s">
        <v>178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172</v>
      </c>
      <c r="E1790">
        <v>2</v>
      </c>
      <c r="F1790" t="s">
        <v>167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172</v>
      </c>
      <c r="E1791">
        <v>2</v>
      </c>
      <c r="F1791" t="s">
        <v>167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172</v>
      </c>
      <c r="E1792">
        <v>2</v>
      </c>
      <c r="F1792" t="s">
        <v>167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172</v>
      </c>
      <c r="E1793">
        <v>2</v>
      </c>
      <c r="F1793" t="s">
        <v>167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166</v>
      </c>
      <c r="E1794">
        <v>2</v>
      </c>
      <c r="F1794" t="s">
        <v>167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172</v>
      </c>
      <c r="E1795">
        <v>2</v>
      </c>
      <c r="F1795" t="s">
        <v>178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172</v>
      </c>
      <c r="E1796">
        <v>2</v>
      </c>
      <c r="F1796" t="s">
        <v>181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172</v>
      </c>
      <c r="E1797">
        <v>2</v>
      </c>
      <c r="F1797" t="s">
        <v>178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172</v>
      </c>
      <c r="E1798">
        <v>2</v>
      </c>
      <c r="F1798" t="s">
        <v>167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172</v>
      </c>
      <c r="E1799">
        <v>2</v>
      </c>
      <c r="F1799" t="s">
        <v>167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172</v>
      </c>
      <c r="E1800">
        <v>2</v>
      </c>
      <c r="F1800" t="s">
        <v>178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172</v>
      </c>
      <c r="E1801">
        <v>2</v>
      </c>
      <c r="F1801" t="s">
        <v>167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172</v>
      </c>
      <c r="E1802">
        <v>2</v>
      </c>
      <c r="F1802" t="s">
        <v>167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166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172</v>
      </c>
      <c r="E1804">
        <v>2</v>
      </c>
      <c r="F1804" t="s">
        <v>178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172</v>
      </c>
      <c r="E1805">
        <v>2</v>
      </c>
      <c r="F1805" t="s">
        <v>168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199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172</v>
      </c>
      <c r="E1806">
        <v>2</v>
      </c>
      <c r="F1806" t="s">
        <v>168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199</v>
      </c>
      <c r="N1806">
        <v>25.61</v>
      </c>
      <c r="O1806">
        <v>12</v>
      </c>
      <c r="T1806" t="str">
        <f t="shared" si="208"/>
        <v/>
      </c>
    </row>
    <row r="1807" spans="1:20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172</v>
      </c>
      <c r="E1807">
        <v>2</v>
      </c>
      <c r="F1807" t="s">
        <v>174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172</v>
      </c>
      <c r="E1808">
        <v>2</v>
      </c>
      <c r="F1808" t="s">
        <v>174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172</v>
      </c>
      <c r="E1809">
        <v>2</v>
      </c>
      <c r="F1809" t="s">
        <v>167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211</v>
      </c>
    </row>
    <row r="1810" spans="1:2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172</v>
      </c>
      <c r="E1810">
        <v>2</v>
      </c>
      <c r="F1810" t="s">
        <v>192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172</v>
      </c>
      <c r="E1811">
        <v>2</v>
      </c>
      <c r="F1811" t="s">
        <v>174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172</v>
      </c>
      <c r="E1812">
        <v>2</v>
      </c>
      <c r="F1812" t="s">
        <v>174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172</v>
      </c>
      <c r="E1813">
        <v>2</v>
      </c>
      <c r="F1813" t="s">
        <v>174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172</v>
      </c>
      <c r="E1814">
        <v>2</v>
      </c>
      <c r="F1814" t="s">
        <v>174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172</v>
      </c>
      <c r="E1815">
        <v>2</v>
      </c>
      <c r="F1815" t="s">
        <v>174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172</v>
      </c>
      <c r="E1816">
        <v>2</v>
      </c>
      <c r="F1816" t="s">
        <v>174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172</v>
      </c>
      <c r="E1817">
        <v>2</v>
      </c>
      <c r="F1817" t="s">
        <v>174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172</v>
      </c>
      <c r="E1818">
        <v>2</v>
      </c>
      <c r="F1818" t="s">
        <v>168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199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172</v>
      </c>
      <c r="E1819">
        <v>2</v>
      </c>
      <c r="F1819" t="s">
        <v>168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198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172</v>
      </c>
      <c r="E1820">
        <v>2</v>
      </c>
      <c r="F1820" t="s">
        <v>168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199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172</v>
      </c>
      <c r="E1821">
        <v>2</v>
      </c>
      <c r="F1821" t="s">
        <v>168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198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172</v>
      </c>
      <c r="E1822">
        <v>2</v>
      </c>
      <c r="F1822" t="s">
        <v>168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198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172</v>
      </c>
      <c r="E1823">
        <v>2</v>
      </c>
      <c r="F1823" t="s">
        <v>168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198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172</v>
      </c>
      <c r="E1824">
        <v>2</v>
      </c>
      <c r="F1824" t="s">
        <v>168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198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172</v>
      </c>
      <c r="E1825">
        <v>2</v>
      </c>
      <c r="F1825" t="s">
        <v>168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198</v>
      </c>
      <c r="N1825">
        <v>28.42</v>
      </c>
      <c r="O1825">
        <v>18</v>
      </c>
      <c r="T1825" t="str">
        <f t="shared" si="208"/>
        <v/>
      </c>
    </row>
    <row r="1826" spans="1:2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172</v>
      </c>
      <c r="E1826">
        <v>2</v>
      </c>
      <c r="F1826" t="s">
        <v>174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172</v>
      </c>
      <c r="E1827">
        <v>2</v>
      </c>
      <c r="F1827" t="s">
        <v>174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172</v>
      </c>
      <c r="E1828">
        <v>2</v>
      </c>
      <c r="F1828" t="s">
        <v>174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172</v>
      </c>
      <c r="E1829">
        <v>2</v>
      </c>
      <c r="F1829" t="s">
        <v>167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172</v>
      </c>
      <c r="E1830">
        <v>2</v>
      </c>
      <c r="F1830" t="s">
        <v>192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172</v>
      </c>
      <c r="E1831">
        <v>2</v>
      </c>
      <c r="F1831" t="s">
        <v>178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166</v>
      </c>
      <c r="E1832">
        <v>2</v>
      </c>
      <c r="F1832" t="s">
        <v>167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166</v>
      </c>
      <c r="E1833">
        <v>2</v>
      </c>
      <c r="F1833" t="s">
        <v>192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166</v>
      </c>
      <c r="E1834">
        <v>2</v>
      </c>
      <c r="F1834" t="s">
        <v>178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172</v>
      </c>
      <c r="E1835">
        <v>2</v>
      </c>
      <c r="F1835" t="s">
        <v>174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172</v>
      </c>
      <c r="E1836">
        <v>2</v>
      </c>
      <c r="F1836" t="s">
        <v>167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211</v>
      </c>
    </row>
    <row r="1837" spans="1:2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172</v>
      </c>
      <c r="E1837">
        <v>2</v>
      </c>
      <c r="F1837" t="s">
        <v>178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172</v>
      </c>
      <c r="E1838">
        <v>2</v>
      </c>
      <c r="F1838" t="s">
        <v>178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172</v>
      </c>
      <c r="E1839">
        <v>2</v>
      </c>
      <c r="F1839" t="s">
        <v>178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172</v>
      </c>
      <c r="E1840">
        <v>2</v>
      </c>
      <c r="F1840" t="s">
        <v>178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172</v>
      </c>
      <c r="E1841">
        <v>2</v>
      </c>
      <c r="F1841" t="s">
        <v>178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172</v>
      </c>
      <c r="E1842">
        <v>2</v>
      </c>
      <c r="F1842" t="s">
        <v>178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172</v>
      </c>
      <c r="E1843">
        <v>2</v>
      </c>
      <c r="F1843" t="s">
        <v>178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172</v>
      </c>
      <c r="E1844">
        <v>2</v>
      </c>
      <c r="F1844" t="s">
        <v>178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172</v>
      </c>
      <c r="E1845">
        <v>2</v>
      </c>
      <c r="F1845" t="s">
        <v>178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172</v>
      </c>
      <c r="E1846">
        <v>2</v>
      </c>
      <c r="F1846" t="s">
        <v>178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172</v>
      </c>
      <c r="E1847">
        <v>2</v>
      </c>
      <c r="F1847" t="s">
        <v>178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172</v>
      </c>
      <c r="E1848">
        <v>2</v>
      </c>
      <c r="F1848" t="s">
        <v>168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198</v>
      </c>
      <c r="N1848">
        <v>33.56</v>
      </c>
      <c r="O1848">
        <v>27</v>
      </c>
      <c r="T1848" t="str">
        <f t="shared" si="208"/>
        <v/>
      </c>
    </row>
    <row r="1849" spans="1:2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172</v>
      </c>
      <c r="E1849">
        <v>2</v>
      </c>
      <c r="F1849" t="s">
        <v>167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212</v>
      </c>
    </row>
    <row r="1850" spans="1:2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172</v>
      </c>
      <c r="E1850">
        <v>2</v>
      </c>
      <c r="F1850" t="s">
        <v>167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212</v>
      </c>
    </row>
    <row r="1851" spans="1:2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166</v>
      </c>
      <c r="E1851">
        <v>2</v>
      </c>
      <c r="F1851" t="s">
        <v>167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172</v>
      </c>
      <c r="E1852">
        <v>2</v>
      </c>
      <c r="F1852" t="s">
        <v>182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172</v>
      </c>
      <c r="E1853">
        <v>2</v>
      </c>
      <c r="F1853" t="s">
        <v>178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172</v>
      </c>
      <c r="E1854">
        <v>2</v>
      </c>
      <c r="F1854" t="s">
        <v>178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172</v>
      </c>
      <c r="E1855">
        <v>2</v>
      </c>
      <c r="F1855" t="s">
        <v>178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172</v>
      </c>
      <c r="E1856">
        <v>2</v>
      </c>
      <c r="F1856" t="s">
        <v>178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172</v>
      </c>
      <c r="E1857">
        <v>2</v>
      </c>
      <c r="F1857" t="s">
        <v>174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172</v>
      </c>
      <c r="E1858">
        <v>2</v>
      </c>
      <c r="F1858" t="s">
        <v>174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172</v>
      </c>
      <c r="E1859">
        <v>2</v>
      </c>
      <c r="F1859" t="s">
        <v>167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172</v>
      </c>
      <c r="E1860">
        <v>2</v>
      </c>
      <c r="F1860" t="s">
        <v>167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172</v>
      </c>
      <c r="E1861">
        <v>2</v>
      </c>
      <c r="F1861" t="s">
        <v>181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172</v>
      </c>
      <c r="E1862">
        <v>2</v>
      </c>
      <c r="F1862" t="s">
        <v>181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172</v>
      </c>
      <c r="E1863">
        <v>2</v>
      </c>
      <c r="F1863" t="s">
        <v>168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198</v>
      </c>
      <c r="N1863">
        <v>30</v>
      </c>
      <c r="O1863">
        <v>21</v>
      </c>
      <c r="T1863" t="str">
        <f t="shared" si="215"/>
        <v/>
      </c>
    </row>
    <row r="1864" spans="1:20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172</v>
      </c>
      <c r="E1864">
        <v>2</v>
      </c>
      <c r="F1864" t="s">
        <v>178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172</v>
      </c>
      <c r="E1865">
        <v>2</v>
      </c>
      <c r="F1865" t="s">
        <v>167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166</v>
      </c>
      <c r="E1866">
        <v>2</v>
      </c>
      <c r="F1866" t="s">
        <v>167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172</v>
      </c>
      <c r="E1867">
        <v>2</v>
      </c>
      <c r="F1867" t="s">
        <v>178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172</v>
      </c>
      <c r="E1868">
        <v>2</v>
      </c>
      <c r="F1868" t="s">
        <v>178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172</v>
      </c>
      <c r="E1869">
        <v>2</v>
      </c>
      <c r="F1869" t="s">
        <v>181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172</v>
      </c>
      <c r="E1870">
        <v>2</v>
      </c>
      <c r="F1870" t="s">
        <v>167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172</v>
      </c>
      <c r="E1871">
        <v>2</v>
      </c>
      <c r="F1871" t="s">
        <v>167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172</v>
      </c>
      <c r="E1872">
        <v>2</v>
      </c>
      <c r="F1872" t="s">
        <v>178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172</v>
      </c>
      <c r="E1873">
        <v>2</v>
      </c>
      <c r="F1873" t="s">
        <v>181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172</v>
      </c>
      <c r="E1874">
        <v>2</v>
      </c>
      <c r="F1874" t="s">
        <v>167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172</v>
      </c>
      <c r="E1875">
        <v>2</v>
      </c>
      <c r="F1875" t="s">
        <v>167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172</v>
      </c>
      <c r="E1876">
        <v>2</v>
      </c>
      <c r="F1876" t="s">
        <v>167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166</v>
      </c>
      <c r="E1877">
        <v>2</v>
      </c>
      <c r="F1877" t="s">
        <v>167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172</v>
      </c>
      <c r="E1878">
        <v>2</v>
      </c>
      <c r="F1878" t="s">
        <v>168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199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172</v>
      </c>
      <c r="E1879">
        <v>2</v>
      </c>
      <c r="F1879" t="s">
        <v>168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198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172</v>
      </c>
      <c r="E1880">
        <v>2</v>
      </c>
      <c r="F1880" t="s">
        <v>168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199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172</v>
      </c>
      <c r="E1881">
        <v>2</v>
      </c>
      <c r="F1881" t="s">
        <v>168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198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172</v>
      </c>
      <c r="E1882">
        <v>2</v>
      </c>
      <c r="F1882" t="s">
        <v>168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198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172</v>
      </c>
      <c r="E1883">
        <v>2</v>
      </c>
      <c r="F1883" t="s">
        <v>168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198</v>
      </c>
      <c r="N1883">
        <v>23.64</v>
      </c>
      <c r="O1883">
        <v>10</v>
      </c>
      <c r="T1883" t="str">
        <f t="shared" si="215"/>
        <v/>
      </c>
    </row>
    <row r="1884" spans="1:20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172</v>
      </c>
      <c r="E1884">
        <v>2</v>
      </c>
      <c r="F1884" t="s">
        <v>181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172</v>
      </c>
      <c r="E1885">
        <v>2</v>
      </c>
      <c r="F1885" t="s">
        <v>167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172</v>
      </c>
      <c r="E1886">
        <v>2</v>
      </c>
      <c r="F1886" t="s">
        <v>178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172</v>
      </c>
      <c r="E1887">
        <v>2</v>
      </c>
      <c r="F1887" t="s">
        <v>168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198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172</v>
      </c>
      <c r="E1888">
        <v>2</v>
      </c>
      <c r="F1888" t="s">
        <v>168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199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172</v>
      </c>
      <c r="E1889">
        <v>2</v>
      </c>
      <c r="F1889" t="s">
        <v>168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198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172</v>
      </c>
      <c r="E1890">
        <v>2</v>
      </c>
      <c r="F1890" t="s">
        <v>168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198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172</v>
      </c>
      <c r="E1891">
        <v>2</v>
      </c>
      <c r="F1891" t="s">
        <v>168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198</v>
      </c>
      <c r="N1891">
        <v>19.43</v>
      </c>
      <c r="O1891">
        <v>6</v>
      </c>
      <c r="T1891" t="str">
        <f t="shared" si="215"/>
        <v/>
      </c>
    </row>
    <row r="1892" spans="1:20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172</v>
      </c>
      <c r="E1892">
        <v>2</v>
      </c>
      <c r="F1892" t="s">
        <v>181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172</v>
      </c>
      <c r="E1893">
        <v>2</v>
      </c>
      <c r="F1893" t="s">
        <v>167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166</v>
      </c>
      <c r="E1894">
        <v>2</v>
      </c>
      <c r="F1894" t="s">
        <v>168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199</v>
      </c>
      <c r="N1894">
        <v>35.5</v>
      </c>
      <c r="O1894">
        <v>30</v>
      </c>
      <c r="T1894" t="str">
        <f t="shared" si="215"/>
        <v/>
      </c>
    </row>
    <row r="1895" spans="1:20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166</v>
      </c>
      <c r="E1895">
        <v>2</v>
      </c>
      <c r="F1895" t="s">
        <v>167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172</v>
      </c>
      <c r="E1896">
        <v>2</v>
      </c>
      <c r="F1896" t="s">
        <v>178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172</v>
      </c>
      <c r="E1897">
        <v>2</v>
      </c>
      <c r="F1897" t="s">
        <v>168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199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172</v>
      </c>
      <c r="E1898">
        <v>2</v>
      </c>
      <c r="F1898" t="s">
        <v>168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199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172</v>
      </c>
      <c r="E1899">
        <v>2</v>
      </c>
      <c r="F1899" t="s">
        <v>168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198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172</v>
      </c>
      <c r="E1900">
        <v>2</v>
      </c>
      <c r="F1900" t="s">
        <v>168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198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172</v>
      </c>
      <c r="E1901">
        <v>2</v>
      </c>
      <c r="F1901" t="s">
        <v>168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198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172</v>
      </c>
      <c r="E1902">
        <v>2</v>
      </c>
      <c r="F1902" t="s">
        <v>168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199</v>
      </c>
      <c r="N1902">
        <v>16.93</v>
      </c>
      <c r="O1902">
        <v>3</v>
      </c>
      <c r="T1902" t="str">
        <f t="shared" si="215"/>
        <v/>
      </c>
    </row>
    <row r="1903" spans="1:20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172</v>
      </c>
      <c r="E1903">
        <v>2</v>
      </c>
      <c r="F1903" t="s">
        <v>181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172</v>
      </c>
      <c r="E1904">
        <v>2</v>
      </c>
      <c r="F1904" t="s">
        <v>167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166</v>
      </c>
      <c r="E1905">
        <v>2</v>
      </c>
      <c r="F1905" t="s">
        <v>168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199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166</v>
      </c>
      <c r="E1906">
        <v>2</v>
      </c>
      <c r="F1906" t="s">
        <v>168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199</v>
      </c>
      <c r="N1906">
        <v>30</v>
      </c>
      <c r="O1906">
        <v>21</v>
      </c>
      <c r="T1906" t="str">
        <f t="shared" si="215"/>
        <v/>
      </c>
    </row>
    <row r="1907" spans="1:20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166</v>
      </c>
      <c r="E1907">
        <v>2</v>
      </c>
      <c r="F1907" t="s">
        <v>167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172</v>
      </c>
      <c r="E1908">
        <v>2</v>
      </c>
      <c r="F1908" t="s">
        <v>178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172</v>
      </c>
      <c r="E1909">
        <v>2</v>
      </c>
      <c r="F1909" t="s">
        <v>178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172</v>
      </c>
      <c r="E1910">
        <v>2</v>
      </c>
      <c r="F1910" t="s">
        <v>178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172</v>
      </c>
      <c r="E1911">
        <v>2</v>
      </c>
      <c r="F1911" t="s">
        <v>178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172</v>
      </c>
      <c r="E1912">
        <v>2</v>
      </c>
      <c r="F1912" t="s">
        <v>178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172</v>
      </c>
      <c r="E1913">
        <v>2</v>
      </c>
      <c r="F1913" t="s">
        <v>178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172</v>
      </c>
      <c r="E1914">
        <v>2</v>
      </c>
      <c r="F1914" t="s">
        <v>178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172</v>
      </c>
      <c r="E1915">
        <v>2</v>
      </c>
      <c r="F1915" t="s">
        <v>181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172</v>
      </c>
      <c r="E1916">
        <v>2</v>
      </c>
      <c r="F1916" t="s">
        <v>167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172</v>
      </c>
      <c r="E1917">
        <v>2</v>
      </c>
      <c r="F1917" t="s">
        <v>167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172</v>
      </c>
      <c r="E1918">
        <v>2</v>
      </c>
      <c r="F1918" t="s">
        <v>174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172</v>
      </c>
      <c r="E1919">
        <v>2</v>
      </c>
      <c r="F1919" t="s">
        <v>174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172</v>
      </c>
      <c r="E1920">
        <v>2</v>
      </c>
      <c r="F1920" t="s">
        <v>174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172</v>
      </c>
      <c r="E1921">
        <v>2</v>
      </c>
      <c r="F1921" t="s">
        <v>174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172</v>
      </c>
      <c r="E1922">
        <v>2</v>
      </c>
      <c r="F1922" t="s">
        <v>174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172</v>
      </c>
      <c r="E1923">
        <v>2</v>
      </c>
      <c r="F1923" t="s">
        <v>174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172</v>
      </c>
      <c r="E1924">
        <v>2</v>
      </c>
      <c r="F1924" t="s">
        <v>174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172</v>
      </c>
      <c r="E1925">
        <v>2</v>
      </c>
      <c r="F1925" t="s">
        <v>174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172</v>
      </c>
      <c r="E1926">
        <v>2</v>
      </c>
      <c r="F1926" t="s">
        <v>174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172</v>
      </c>
      <c r="E1927">
        <v>2</v>
      </c>
      <c r="F1927" t="s">
        <v>174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172</v>
      </c>
      <c r="E1928">
        <v>2</v>
      </c>
      <c r="F1928" t="s">
        <v>174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172</v>
      </c>
      <c r="E1929">
        <v>2</v>
      </c>
      <c r="F1929" t="s">
        <v>174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172</v>
      </c>
      <c r="E1930">
        <v>2</v>
      </c>
      <c r="F1930" t="s">
        <v>174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172</v>
      </c>
      <c r="E1931">
        <v>2</v>
      </c>
      <c r="F1931" t="s">
        <v>174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172</v>
      </c>
      <c r="E1932">
        <v>2</v>
      </c>
      <c r="F1932" t="s">
        <v>174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172</v>
      </c>
      <c r="E1933">
        <v>2</v>
      </c>
      <c r="F1933" t="s">
        <v>174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166</v>
      </c>
      <c r="E1934">
        <v>2</v>
      </c>
      <c r="F1934" t="s">
        <v>167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172</v>
      </c>
      <c r="E1935">
        <v>2</v>
      </c>
      <c r="F1935" t="s">
        <v>167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172</v>
      </c>
      <c r="E1936">
        <v>2</v>
      </c>
      <c r="F1936" t="s">
        <v>167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172</v>
      </c>
      <c r="E1937">
        <v>2</v>
      </c>
      <c r="F1937" t="s">
        <v>167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172</v>
      </c>
      <c r="E1938">
        <v>2</v>
      </c>
      <c r="F1938" t="s">
        <v>167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172</v>
      </c>
      <c r="E1939">
        <v>2</v>
      </c>
      <c r="F1939" t="s">
        <v>181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172</v>
      </c>
      <c r="E1940">
        <v>2</v>
      </c>
      <c r="F1940" t="s">
        <v>174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172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172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172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172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172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172</v>
      </c>
      <c r="E1946">
        <v>2</v>
      </c>
      <c r="F1946" t="s">
        <v>182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172</v>
      </c>
      <c r="E1947">
        <v>2</v>
      </c>
      <c r="F1947" t="s">
        <v>178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172</v>
      </c>
      <c r="E1948">
        <v>2</v>
      </c>
      <c r="F1948" t="s">
        <v>178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172</v>
      </c>
      <c r="E1949">
        <v>2</v>
      </c>
      <c r="F1949" t="s">
        <v>178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172</v>
      </c>
      <c r="E1950">
        <v>2</v>
      </c>
      <c r="F1950" t="s">
        <v>181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172</v>
      </c>
      <c r="E1951">
        <v>2</v>
      </c>
      <c r="F1951" t="s">
        <v>168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199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172</v>
      </c>
      <c r="E1952">
        <v>2</v>
      </c>
      <c r="F1952" t="s">
        <v>168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199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172</v>
      </c>
      <c r="E1953">
        <v>2</v>
      </c>
      <c r="F1953" t="s">
        <v>168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198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172</v>
      </c>
      <c r="E1954">
        <v>2</v>
      </c>
      <c r="F1954" t="s">
        <v>168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199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172</v>
      </c>
      <c r="E1955">
        <v>2</v>
      </c>
      <c r="F1955" t="s">
        <v>168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198</v>
      </c>
      <c r="N1955">
        <v>26</v>
      </c>
      <c r="O1955">
        <v>15</v>
      </c>
      <c r="T1955" t="str">
        <f t="shared" si="222"/>
        <v/>
      </c>
    </row>
    <row r="1956" spans="1:20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172</v>
      </c>
      <c r="E1956">
        <v>2</v>
      </c>
      <c r="F1956" t="s">
        <v>178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172</v>
      </c>
      <c r="E1957">
        <v>2</v>
      </c>
      <c r="F1957" t="s">
        <v>167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172</v>
      </c>
      <c r="E1958">
        <v>2</v>
      </c>
      <c r="F1958" t="s">
        <v>167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172</v>
      </c>
      <c r="E1959">
        <v>2</v>
      </c>
      <c r="F1959" t="s">
        <v>174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172</v>
      </c>
      <c r="E1960">
        <v>2</v>
      </c>
      <c r="F1960" t="s">
        <v>174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172</v>
      </c>
      <c r="E1961">
        <v>2</v>
      </c>
      <c r="F1961" t="s">
        <v>174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172</v>
      </c>
      <c r="E1962">
        <v>2</v>
      </c>
      <c r="F1962" t="s">
        <v>174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172</v>
      </c>
      <c r="E1963">
        <v>2</v>
      </c>
      <c r="F1963" t="s">
        <v>174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172</v>
      </c>
      <c r="E1964">
        <v>2</v>
      </c>
      <c r="F1964" t="s">
        <v>174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172</v>
      </c>
      <c r="E1965">
        <v>2</v>
      </c>
      <c r="F1965" t="s">
        <v>174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172</v>
      </c>
      <c r="E1966">
        <v>2</v>
      </c>
      <c r="F1966" t="s">
        <v>174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172</v>
      </c>
      <c r="E1967">
        <v>2</v>
      </c>
      <c r="F1967" t="s">
        <v>174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172</v>
      </c>
      <c r="E1968">
        <v>2</v>
      </c>
      <c r="F1968" t="s">
        <v>174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172</v>
      </c>
      <c r="E1969">
        <v>2</v>
      </c>
      <c r="F1969" t="s">
        <v>174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172</v>
      </c>
      <c r="E1970">
        <v>2</v>
      </c>
      <c r="F1970" t="s">
        <v>174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172</v>
      </c>
      <c r="E1971">
        <v>2</v>
      </c>
      <c r="F1971" t="s">
        <v>174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172</v>
      </c>
      <c r="E1972">
        <v>2</v>
      </c>
      <c r="F1972" t="s">
        <v>174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172</v>
      </c>
      <c r="E1973">
        <v>2</v>
      </c>
      <c r="F1973" t="s">
        <v>174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172</v>
      </c>
      <c r="E1974">
        <v>2</v>
      </c>
      <c r="F1974" t="s">
        <v>174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172</v>
      </c>
      <c r="E1975">
        <v>2</v>
      </c>
      <c r="F1975" t="s">
        <v>174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172</v>
      </c>
      <c r="E1976">
        <v>2</v>
      </c>
      <c r="F1976" t="s">
        <v>174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172</v>
      </c>
      <c r="E1977">
        <v>2</v>
      </c>
      <c r="F1977" t="s">
        <v>174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172</v>
      </c>
      <c r="E1978">
        <v>2</v>
      </c>
      <c r="F1978" t="s">
        <v>174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166</v>
      </c>
      <c r="E1979">
        <v>2</v>
      </c>
      <c r="F1979" t="s">
        <v>167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172</v>
      </c>
      <c r="E1980">
        <v>2</v>
      </c>
      <c r="F1980" t="s">
        <v>174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172</v>
      </c>
      <c r="E1981">
        <v>2</v>
      </c>
      <c r="F1981" t="s">
        <v>178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172</v>
      </c>
      <c r="E1982">
        <v>2</v>
      </c>
      <c r="F1982" t="s">
        <v>178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172</v>
      </c>
      <c r="E1983">
        <v>2</v>
      </c>
      <c r="F1983" t="s">
        <v>178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172</v>
      </c>
      <c r="E1984">
        <v>2</v>
      </c>
      <c r="F1984" t="s">
        <v>167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172</v>
      </c>
      <c r="E1985">
        <v>2</v>
      </c>
      <c r="F1985" t="s">
        <v>167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172</v>
      </c>
      <c r="E1986">
        <v>2</v>
      </c>
      <c r="F1986" t="s">
        <v>167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166</v>
      </c>
      <c r="E1987">
        <v>2</v>
      </c>
      <c r="F1987" t="s">
        <v>167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172</v>
      </c>
      <c r="E1988">
        <v>2</v>
      </c>
      <c r="F1988" t="s">
        <v>178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172</v>
      </c>
      <c r="E1989">
        <v>2</v>
      </c>
      <c r="F1989" t="s">
        <v>178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172</v>
      </c>
      <c r="E1990">
        <v>2</v>
      </c>
      <c r="F1990" t="s">
        <v>168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198</v>
      </c>
      <c r="N1990">
        <v>25</v>
      </c>
      <c r="O1990">
        <v>11</v>
      </c>
      <c r="T1990" t="str">
        <f t="shared" si="229"/>
        <v/>
      </c>
    </row>
    <row r="1991" spans="1:20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172</v>
      </c>
      <c r="E1991">
        <v>2</v>
      </c>
      <c r="F1991" t="s">
        <v>167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172</v>
      </c>
      <c r="E1992">
        <v>2</v>
      </c>
      <c r="F1992" t="s">
        <v>167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166</v>
      </c>
      <c r="E1993">
        <v>2</v>
      </c>
      <c r="F1993" t="s">
        <v>167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172</v>
      </c>
      <c r="E1994">
        <v>2</v>
      </c>
      <c r="F1994" t="s">
        <v>168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199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172</v>
      </c>
      <c r="E1995">
        <v>2</v>
      </c>
      <c r="F1995" t="s">
        <v>168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198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172</v>
      </c>
      <c r="E1996">
        <v>2</v>
      </c>
      <c r="F1996" t="s">
        <v>168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199</v>
      </c>
      <c r="N1996">
        <v>20.14</v>
      </c>
      <c r="O1996">
        <v>6</v>
      </c>
      <c r="T1996" t="str">
        <f t="shared" si="229"/>
        <v/>
      </c>
    </row>
    <row r="1997" spans="1:20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172</v>
      </c>
      <c r="E1997">
        <v>2</v>
      </c>
      <c r="F1997" t="s">
        <v>185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172</v>
      </c>
      <c r="E1998">
        <v>2</v>
      </c>
      <c r="F1998" t="s">
        <v>167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172</v>
      </c>
      <c r="E1999">
        <v>2</v>
      </c>
      <c r="F1999" t="s">
        <v>168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198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172</v>
      </c>
      <c r="E2000">
        <v>2</v>
      </c>
      <c r="F2000" t="s">
        <v>168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198</v>
      </c>
      <c r="N2000">
        <v>15.68</v>
      </c>
      <c r="O2000">
        <v>3</v>
      </c>
      <c r="T2000" t="str">
        <f t="shared" si="229"/>
        <v/>
      </c>
    </row>
    <row r="2001" spans="1:20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172</v>
      </c>
      <c r="E2001">
        <v>2</v>
      </c>
      <c r="F2001" t="s">
        <v>182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166</v>
      </c>
      <c r="E2002">
        <v>2</v>
      </c>
      <c r="F2002" t="s">
        <v>167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172</v>
      </c>
      <c r="E2003">
        <v>2</v>
      </c>
      <c r="F2003" t="s">
        <v>178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172</v>
      </c>
      <c r="E2004">
        <v>2</v>
      </c>
      <c r="F2004" t="s">
        <v>178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172</v>
      </c>
      <c r="E2005">
        <v>2</v>
      </c>
      <c r="F2005" t="s">
        <v>178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172</v>
      </c>
      <c r="E2006">
        <v>2</v>
      </c>
      <c r="F2006" t="s">
        <v>178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172</v>
      </c>
      <c r="E2007">
        <v>2</v>
      </c>
      <c r="F2007" t="s">
        <v>178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172</v>
      </c>
      <c r="E2008">
        <v>2</v>
      </c>
      <c r="F2008" t="s">
        <v>178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172</v>
      </c>
      <c r="E2009">
        <v>2</v>
      </c>
      <c r="F2009" t="s">
        <v>174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172</v>
      </c>
      <c r="E2010">
        <v>2</v>
      </c>
      <c r="F2010" t="s">
        <v>168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199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172</v>
      </c>
      <c r="E2011">
        <v>2</v>
      </c>
      <c r="F2011" t="s">
        <v>168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199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172</v>
      </c>
      <c r="E2012">
        <v>2</v>
      </c>
      <c r="F2012" t="s">
        <v>168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199</v>
      </c>
      <c r="N2012">
        <v>39.950000000000003</v>
      </c>
      <c r="O2012">
        <v>49</v>
      </c>
      <c r="T2012" t="str">
        <f t="shared" si="229"/>
        <v/>
      </c>
    </row>
    <row r="2013" spans="1:20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172</v>
      </c>
      <c r="E2013">
        <v>2</v>
      </c>
      <c r="F2013" t="s">
        <v>181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172</v>
      </c>
      <c r="E2014">
        <v>2</v>
      </c>
      <c r="F2014" t="s">
        <v>185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172</v>
      </c>
      <c r="E2015">
        <v>2</v>
      </c>
      <c r="F2015" t="s">
        <v>185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172</v>
      </c>
      <c r="E2016">
        <v>2</v>
      </c>
      <c r="F2016" t="s">
        <v>167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166</v>
      </c>
      <c r="E2017">
        <v>2</v>
      </c>
      <c r="F2017" t="s">
        <v>167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172</v>
      </c>
      <c r="E2018">
        <v>2</v>
      </c>
      <c r="F2018" t="s">
        <v>178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172</v>
      </c>
      <c r="E2019">
        <v>2</v>
      </c>
      <c r="F2019" t="s">
        <v>178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172</v>
      </c>
      <c r="E2020">
        <v>2</v>
      </c>
      <c r="F2020" t="s">
        <v>178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172</v>
      </c>
      <c r="E2021">
        <v>2</v>
      </c>
      <c r="F2021" t="s">
        <v>178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172</v>
      </c>
      <c r="E2022">
        <v>2</v>
      </c>
      <c r="F2022" t="s">
        <v>178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172</v>
      </c>
      <c r="E2023">
        <v>2</v>
      </c>
      <c r="F2023" t="s">
        <v>178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172</v>
      </c>
      <c r="E2024">
        <v>2</v>
      </c>
      <c r="F2024" t="s">
        <v>178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172</v>
      </c>
      <c r="E2025">
        <v>2</v>
      </c>
      <c r="F2025" t="s">
        <v>174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172</v>
      </c>
      <c r="E2026">
        <v>2</v>
      </c>
      <c r="F2026" t="s">
        <v>174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172</v>
      </c>
      <c r="E2027">
        <v>2</v>
      </c>
      <c r="F2027" t="s">
        <v>168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198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172</v>
      </c>
      <c r="E2028">
        <v>2</v>
      </c>
      <c r="F2028" t="s">
        <v>168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198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172</v>
      </c>
      <c r="E2029">
        <v>2</v>
      </c>
      <c r="F2029" t="s">
        <v>168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198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172</v>
      </c>
      <c r="E2030">
        <v>2</v>
      </c>
      <c r="F2030" t="s">
        <v>168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198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172</v>
      </c>
      <c r="E2031">
        <v>2</v>
      </c>
      <c r="F2031" t="s">
        <v>168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198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172</v>
      </c>
      <c r="E2032">
        <v>2</v>
      </c>
      <c r="F2032" t="s">
        <v>168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198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172</v>
      </c>
      <c r="E2033">
        <v>2</v>
      </c>
      <c r="F2033" t="s">
        <v>168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198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172</v>
      </c>
      <c r="E2034">
        <v>2</v>
      </c>
      <c r="F2034" t="s">
        <v>168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199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172</v>
      </c>
      <c r="E2035">
        <v>2</v>
      </c>
      <c r="F2035" t="s">
        <v>168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198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172</v>
      </c>
      <c r="E2036">
        <v>2</v>
      </c>
      <c r="F2036" t="s">
        <v>168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199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172</v>
      </c>
      <c r="E2037">
        <v>2</v>
      </c>
      <c r="F2037" t="s">
        <v>168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198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172</v>
      </c>
      <c r="E2038">
        <v>2</v>
      </c>
      <c r="F2038" t="s">
        <v>168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198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172</v>
      </c>
      <c r="E2039">
        <v>2</v>
      </c>
      <c r="F2039" t="s">
        <v>168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172</v>
      </c>
      <c r="E2040">
        <v>2</v>
      </c>
      <c r="F2040" t="s">
        <v>168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199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172</v>
      </c>
      <c r="E2041">
        <v>2</v>
      </c>
      <c r="F2041" t="s">
        <v>168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198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172</v>
      </c>
      <c r="E2042">
        <v>2</v>
      </c>
      <c r="F2042" t="s">
        <v>168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198</v>
      </c>
      <c r="N2042">
        <v>23.15</v>
      </c>
      <c r="O2042">
        <v>11</v>
      </c>
      <c r="T2042" t="str">
        <f t="shared" si="229"/>
        <v/>
      </c>
    </row>
    <row r="2043" spans="1:20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172</v>
      </c>
      <c r="E2043">
        <v>2</v>
      </c>
      <c r="F2043" t="s">
        <v>167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166</v>
      </c>
      <c r="E2044">
        <v>2</v>
      </c>
      <c r="F2044" t="s">
        <v>168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199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166</v>
      </c>
      <c r="E2045">
        <v>2</v>
      </c>
      <c r="F2045" t="s">
        <v>168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198</v>
      </c>
      <c r="N2045">
        <v>23</v>
      </c>
      <c r="O2045">
        <v>11</v>
      </c>
      <c r="T2045" t="str">
        <f t="shared" si="229"/>
        <v/>
      </c>
    </row>
    <row r="2046" spans="1:20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166</v>
      </c>
      <c r="E2046">
        <v>2</v>
      </c>
      <c r="F2046" t="s">
        <v>167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172</v>
      </c>
      <c r="E2047">
        <v>2</v>
      </c>
      <c r="F2047" t="s">
        <v>174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172</v>
      </c>
      <c r="E2048">
        <v>2</v>
      </c>
      <c r="F2048" t="s">
        <v>174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172</v>
      </c>
      <c r="E2049">
        <v>2</v>
      </c>
      <c r="F2049" t="s">
        <v>174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172</v>
      </c>
      <c r="E2050">
        <v>2</v>
      </c>
      <c r="F2050" t="s">
        <v>174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172</v>
      </c>
      <c r="E2051">
        <v>2</v>
      </c>
      <c r="F2051" t="s">
        <v>178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172</v>
      </c>
      <c r="E2052">
        <v>2</v>
      </c>
      <c r="F2052" t="s">
        <v>178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172</v>
      </c>
      <c r="E2053">
        <v>2</v>
      </c>
      <c r="F2053" t="s">
        <v>178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172</v>
      </c>
      <c r="E2054">
        <v>2</v>
      </c>
      <c r="F2054" t="s">
        <v>178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172</v>
      </c>
      <c r="E2055">
        <v>2</v>
      </c>
      <c r="F2055" t="s">
        <v>178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172</v>
      </c>
      <c r="E2056">
        <v>2</v>
      </c>
      <c r="F2056" t="s">
        <v>178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172</v>
      </c>
      <c r="E2057">
        <v>2</v>
      </c>
      <c r="F2057" t="s">
        <v>178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172</v>
      </c>
      <c r="E2058">
        <v>2</v>
      </c>
      <c r="F2058" t="s">
        <v>178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172</v>
      </c>
      <c r="E2059">
        <v>2</v>
      </c>
      <c r="F2059" t="s">
        <v>167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166</v>
      </c>
      <c r="E2060">
        <v>2</v>
      </c>
      <c r="F2060" t="s">
        <v>167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166</v>
      </c>
      <c r="E2061">
        <v>2</v>
      </c>
      <c r="F2061" t="s">
        <v>168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198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166</v>
      </c>
      <c r="E2062">
        <v>2</v>
      </c>
      <c r="F2062" t="s">
        <v>168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198</v>
      </c>
      <c r="N2062">
        <v>24</v>
      </c>
      <c r="O2062">
        <v>11</v>
      </c>
      <c r="T2062" t="str">
        <f t="shared" si="236"/>
        <v/>
      </c>
    </row>
    <row r="2063" spans="1:20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172</v>
      </c>
      <c r="E2063">
        <v>2</v>
      </c>
      <c r="F2063" t="s">
        <v>178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172</v>
      </c>
      <c r="E2064">
        <v>2</v>
      </c>
      <c r="F2064" t="s">
        <v>178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172</v>
      </c>
      <c r="E2065">
        <v>2</v>
      </c>
      <c r="F2065" t="s">
        <v>178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172</v>
      </c>
      <c r="E2066">
        <v>2</v>
      </c>
      <c r="F2066" t="s">
        <v>181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172</v>
      </c>
      <c r="E2067">
        <v>2</v>
      </c>
      <c r="F2067" t="s">
        <v>168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198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172</v>
      </c>
      <c r="E2068">
        <v>2</v>
      </c>
      <c r="F2068" t="s">
        <v>168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198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172</v>
      </c>
      <c r="E2069">
        <v>2</v>
      </c>
      <c r="F2069" t="s">
        <v>168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198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172</v>
      </c>
      <c r="E2070">
        <v>2</v>
      </c>
      <c r="F2070" t="s">
        <v>168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199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172</v>
      </c>
      <c r="E2071">
        <v>2</v>
      </c>
      <c r="F2071" t="s">
        <v>168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198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172</v>
      </c>
      <c r="E2072">
        <v>2</v>
      </c>
      <c r="F2072" t="s">
        <v>168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199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172</v>
      </c>
      <c r="E2073">
        <v>2</v>
      </c>
      <c r="F2073" t="s">
        <v>168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198</v>
      </c>
      <c r="N2073">
        <v>28</v>
      </c>
      <c r="O2073">
        <v>17</v>
      </c>
      <c r="T2073" t="str">
        <f t="shared" si="236"/>
        <v/>
      </c>
    </row>
    <row r="2074" spans="1:20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172</v>
      </c>
      <c r="E2074">
        <v>2</v>
      </c>
      <c r="F2074" t="s">
        <v>167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172</v>
      </c>
      <c r="E2075">
        <v>2</v>
      </c>
      <c r="F2075" t="s">
        <v>167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172</v>
      </c>
      <c r="E2076">
        <v>2</v>
      </c>
      <c r="F2076" t="s">
        <v>167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166</v>
      </c>
      <c r="E2077">
        <v>2</v>
      </c>
      <c r="F2077" t="s">
        <v>168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198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166</v>
      </c>
      <c r="E2078">
        <v>2</v>
      </c>
      <c r="F2078" t="s">
        <v>168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199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166</v>
      </c>
      <c r="E2079">
        <v>2</v>
      </c>
      <c r="F2079" t="s">
        <v>168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199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166</v>
      </c>
      <c r="E2080">
        <v>2</v>
      </c>
      <c r="F2080" t="s">
        <v>168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198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166</v>
      </c>
      <c r="E2081">
        <v>2</v>
      </c>
      <c r="F2081" t="s">
        <v>168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199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166</v>
      </c>
      <c r="E2082">
        <v>2</v>
      </c>
      <c r="F2082" t="s">
        <v>168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198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166</v>
      </c>
      <c r="E2083">
        <v>2</v>
      </c>
      <c r="F2083" t="s">
        <v>168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199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166</v>
      </c>
      <c r="E2084">
        <v>2</v>
      </c>
      <c r="F2084" t="s">
        <v>168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198</v>
      </c>
      <c r="N2084">
        <v>36</v>
      </c>
      <c r="O2084">
        <v>29</v>
      </c>
      <c r="T2084" t="str">
        <f t="shared" si="236"/>
        <v/>
      </c>
    </row>
    <row r="2085" spans="1:20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166</v>
      </c>
      <c r="E2085">
        <v>2</v>
      </c>
      <c r="F2085" t="s">
        <v>167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172</v>
      </c>
      <c r="E2086">
        <v>2</v>
      </c>
      <c r="F2086" t="s">
        <v>181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172</v>
      </c>
      <c r="E2087">
        <v>2</v>
      </c>
      <c r="F2087" t="s">
        <v>168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198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172</v>
      </c>
      <c r="E2088">
        <v>2</v>
      </c>
      <c r="F2088" t="s">
        <v>168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199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172</v>
      </c>
      <c r="E2089">
        <v>2</v>
      </c>
      <c r="F2089" t="s">
        <v>168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198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172</v>
      </c>
      <c r="E2090">
        <v>2</v>
      </c>
      <c r="F2090" t="s">
        <v>168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199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172</v>
      </c>
      <c r="E2091">
        <v>2</v>
      </c>
      <c r="F2091" t="s">
        <v>168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198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172</v>
      </c>
      <c r="E2092">
        <v>2</v>
      </c>
      <c r="F2092" t="s">
        <v>168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198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172</v>
      </c>
      <c r="E2093">
        <v>2</v>
      </c>
      <c r="F2093" t="s">
        <v>168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198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172</v>
      </c>
      <c r="E2094">
        <v>2</v>
      </c>
      <c r="F2094" t="s">
        <v>168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199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172</v>
      </c>
      <c r="E2095">
        <v>2</v>
      </c>
      <c r="F2095" t="s">
        <v>168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199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172</v>
      </c>
      <c r="E2096">
        <v>2</v>
      </c>
      <c r="F2096" t="s">
        <v>168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198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172</v>
      </c>
      <c r="E2097">
        <v>2</v>
      </c>
      <c r="F2097" t="s">
        <v>168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198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172</v>
      </c>
      <c r="E2098">
        <v>2</v>
      </c>
      <c r="F2098" t="s">
        <v>168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198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172</v>
      </c>
      <c r="E2099">
        <v>2</v>
      </c>
      <c r="F2099" t="s">
        <v>168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198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172</v>
      </c>
      <c r="E2100">
        <v>2</v>
      </c>
      <c r="F2100" t="s">
        <v>168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198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172</v>
      </c>
      <c r="E2101">
        <v>2</v>
      </c>
      <c r="F2101" t="s">
        <v>168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198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172</v>
      </c>
      <c r="E2102">
        <v>2</v>
      </c>
      <c r="F2102" t="s">
        <v>168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198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172</v>
      </c>
      <c r="E2103">
        <v>2</v>
      </c>
      <c r="F2103" t="s">
        <v>168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198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172</v>
      </c>
      <c r="E2104">
        <v>2</v>
      </c>
      <c r="F2104" t="s">
        <v>168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198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172</v>
      </c>
      <c r="E2105">
        <v>2</v>
      </c>
      <c r="F2105" t="s">
        <v>168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199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172</v>
      </c>
      <c r="E2106">
        <v>2</v>
      </c>
      <c r="F2106" t="s">
        <v>168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198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172</v>
      </c>
      <c r="E2107">
        <v>2</v>
      </c>
      <c r="F2107" t="s">
        <v>168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199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172</v>
      </c>
      <c r="E2108">
        <v>2</v>
      </c>
      <c r="F2108" t="s">
        <v>168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199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172</v>
      </c>
      <c r="E2109">
        <v>2</v>
      </c>
      <c r="F2109" t="s">
        <v>168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198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172</v>
      </c>
      <c r="E2110">
        <v>2</v>
      </c>
      <c r="F2110" t="s">
        <v>168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198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172</v>
      </c>
      <c r="E2111">
        <v>2</v>
      </c>
      <c r="F2111" t="s">
        <v>168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199</v>
      </c>
      <c r="N2111">
        <v>13</v>
      </c>
      <c r="O2111">
        <v>2</v>
      </c>
      <c r="T2111" t="str">
        <f>IF(S2111&lt;&gt;"", S2111*236.588, "")</f>
        <v/>
      </c>
    </row>
    <row r="2112" spans="1:20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172</v>
      </c>
      <c r="E2112">
        <v>2</v>
      </c>
      <c r="F2112" t="s">
        <v>167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172</v>
      </c>
      <c r="E2113">
        <v>2</v>
      </c>
      <c r="F2113" t="s">
        <v>167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166</v>
      </c>
      <c r="E2114">
        <v>2</v>
      </c>
      <c r="F2114" t="s">
        <v>167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172</v>
      </c>
      <c r="E2115">
        <v>2</v>
      </c>
      <c r="F2115" t="s">
        <v>182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0</v>
      </c>
      <c r="B2116" s="15" t="str">
        <f t="shared" ref="B2116" si="245">A2116 &amp; "_5"</f>
        <v>0_5</v>
      </c>
      <c r="C2116" s="20">
        <v>46135.625</v>
      </c>
      <c r="D2116" t="s">
        <v>172</v>
      </c>
      <c r="E2116">
        <v>2</v>
      </c>
      <c r="F2116" t="s">
        <v>168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199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172</v>
      </c>
      <c r="E2117">
        <v>2</v>
      </c>
      <c r="F2117" t="s">
        <v>168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199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172</v>
      </c>
      <c r="E2118">
        <v>2</v>
      </c>
      <c r="F2118" t="s">
        <v>168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198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172</v>
      </c>
      <c r="E2119">
        <v>2</v>
      </c>
      <c r="F2119" t="s">
        <v>181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172</v>
      </c>
      <c r="E2120">
        <v>2</v>
      </c>
      <c r="F2120" t="s">
        <v>167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172</v>
      </c>
      <c r="E2121">
        <v>2</v>
      </c>
      <c r="F2121" t="s">
        <v>167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166</v>
      </c>
      <c r="E2122">
        <v>2</v>
      </c>
      <c r="F2122" t="s">
        <v>167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172</v>
      </c>
      <c r="E2123">
        <v>2</v>
      </c>
      <c r="F2123" t="s">
        <v>182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172</v>
      </c>
      <c r="E2124">
        <v>2</v>
      </c>
      <c r="F2124" t="s">
        <v>182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172</v>
      </c>
      <c r="E2125">
        <v>2</v>
      </c>
      <c r="F2125" t="s">
        <v>181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172</v>
      </c>
      <c r="E2126">
        <v>2</v>
      </c>
      <c r="F2126" t="s">
        <v>182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172</v>
      </c>
      <c r="E2127">
        <v>2</v>
      </c>
      <c r="F2127" t="s">
        <v>182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172</v>
      </c>
      <c r="E2128">
        <v>2</v>
      </c>
      <c r="F2128" t="s">
        <v>182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172</v>
      </c>
      <c r="E2129">
        <v>2</v>
      </c>
      <c r="F2129" t="s">
        <v>167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172</v>
      </c>
      <c r="E2130">
        <v>2</v>
      </c>
      <c r="F2130" t="s">
        <v>167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172</v>
      </c>
      <c r="E2131">
        <v>2</v>
      </c>
      <c r="F2131" t="s">
        <v>182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166</v>
      </c>
      <c r="E2132">
        <v>2</v>
      </c>
      <c r="F2132" t="s">
        <v>168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198</v>
      </c>
      <c r="N2132">
        <v>30</v>
      </c>
      <c r="O2132">
        <v>22</v>
      </c>
      <c r="T2132" t="str">
        <f t="shared" si="243"/>
        <v/>
      </c>
    </row>
    <row r="2133" spans="1:20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166</v>
      </c>
      <c r="E2133">
        <v>2</v>
      </c>
      <c r="F2133" t="s">
        <v>167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172</v>
      </c>
      <c r="E2134">
        <v>2</v>
      </c>
      <c r="F2134" t="s">
        <v>168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199</v>
      </c>
      <c r="O2134">
        <v>54</v>
      </c>
      <c r="T2134" t="str">
        <f t="shared" si="243"/>
        <v/>
      </c>
    </row>
    <row r="2135" spans="1:20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172</v>
      </c>
      <c r="E2135">
        <v>2</v>
      </c>
      <c r="F2135" t="s">
        <v>181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172</v>
      </c>
      <c r="E2136">
        <v>2</v>
      </c>
      <c r="F2136" t="s">
        <v>178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172</v>
      </c>
      <c r="E2137">
        <v>2</v>
      </c>
      <c r="F2137" t="s">
        <v>167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172</v>
      </c>
      <c r="E2138">
        <v>2</v>
      </c>
      <c r="F2138" t="s">
        <v>178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172</v>
      </c>
      <c r="E2139">
        <v>2</v>
      </c>
      <c r="F2139" t="s">
        <v>167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172</v>
      </c>
      <c r="E2140">
        <v>2</v>
      </c>
      <c r="F2140" t="s">
        <v>182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172</v>
      </c>
      <c r="E2141">
        <v>2</v>
      </c>
      <c r="F2141" t="s">
        <v>182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172</v>
      </c>
      <c r="E2142">
        <v>2</v>
      </c>
      <c r="F2142" t="s">
        <v>167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166</v>
      </c>
      <c r="E2143">
        <v>2</v>
      </c>
      <c r="F2143" t="s">
        <v>167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172</v>
      </c>
      <c r="E2144">
        <v>2</v>
      </c>
      <c r="F2144" t="s">
        <v>181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172</v>
      </c>
      <c r="E2145">
        <v>2</v>
      </c>
      <c r="F2145" t="s">
        <v>182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172</v>
      </c>
      <c r="E2146">
        <v>2</v>
      </c>
      <c r="F2146" t="s">
        <v>182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172</v>
      </c>
      <c r="E2147">
        <v>2</v>
      </c>
      <c r="F2147" t="s">
        <v>168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199</v>
      </c>
      <c r="N2147">
        <v>30</v>
      </c>
      <c r="O2147">
        <v>21</v>
      </c>
      <c r="T2147" t="str">
        <f t="shared" si="243"/>
        <v/>
      </c>
    </row>
    <row r="2148" spans="1:20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172</v>
      </c>
      <c r="E2148">
        <v>2</v>
      </c>
      <c r="F2148" t="s">
        <v>167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172</v>
      </c>
      <c r="E2149">
        <v>2</v>
      </c>
      <c r="F2149" t="s">
        <v>167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166</v>
      </c>
      <c r="E2150">
        <v>2</v>
      </c>
      <c r="F2150" t="s">
        <v>168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198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166</v>
      </c>
      <c r="E2151">
        <v>2</v>
      </c>
      <c r="F2151" t="s">
        <v>168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199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166</v>
      </c>
      <c r="E2152">
        <v>2</v>
      </c>
      <c r="F2152" t="s">
        <v>168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198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166</v>
      </c>
      <c r="E2153">
        <v>2</v>
      </c>
      <c r="F2153" t="s">
        <v>168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198</v>
      </c>
      <c r="N2153">
        <v>29</v>
      </c>
      <c r="O2153">
        <v>19</v>
      </c>
      <c r="T2153" t="str">
        <f t="shared" si="243"/>
        <v/>
      </c>
    </row>
    <row r="2154" spans="1:20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166</v>
      </c>
      <c r="E2154">
        <v>2</v>
      </c>
      <c r="F2154" t="s">
        <v>178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166</v>
      </c>
      <c r="E2155">
        <v>2</v>
      </c>
      <c r="F2155" t="s">
        <v>167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172</v>
      </c>
      <c r="E2156">
        <v>2</v>
      </c>
      <c r="F2156" t="s">
        <v>168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198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172</v>
      </c>
      <c r="E2157">
        <v>2</v>
      </c>
      <c r="F2157" t="s">
        <v>168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199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172</v>
      </c>
      <c r="E2158">
        <v>2</v>
      </c>
      <c r="F2158" t="s">
        <v>168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199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172</v>
      </c>
      <c r="E2159">
        <v>2</v>
      </c>
      <c r="F2159" t="s">
        <v>168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199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172</v>
      </c>
      <c r="E2160">
        <v>2</v>
      </c>
      <c r="F2160" t="s">
        <v>168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199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172</v>
      </c>
      <c r="E2161">
        <v>2</v>
      </c>
      <c r="F2161" t="s">
        <v>168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199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172</v>
      </c>
      <c r="E2162">
        <v>2</v>
      </c>
      <c r="F2162" t="s">
        <v>168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199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172</v>
      </c>
      <c r="E2163">
        <v>2</v>
      </c>
      <c r="F2163" t="s">
        <v>168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198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172</v>
      </c>
      <c r="E2164">
        <v>2</v>
      </c>
      <c r="F2164" t="s">
        <v>168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198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172</v>
      </c>
      <c r="E2165">
        <v>2</v>
      </c>
      <c r="F2165" t="s">
        <v>168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198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172</v>
      </c>
      <c r="E2166">
        <v>2</v>
      </c>
      <c r="F2166" t="s">
        <v>168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198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172</v>
      </c>
      <c r="E2167">
        <v>2</v>
      </c>
      <c r="F2167" t="s">
        <v>168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199</v>
      </c>
      <c r="N2167">
        <v>26</v>
      </c>
      <c r="O2167">
        <v>15</v>
      </c>
      <c r="T2167" t="str">
        <f t="shared" si="243"/>
        <v/>
      </c>
    </row>
    <row r="2168" spans="1:20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172</v>
      </c>
      <c r="E2168">
        <v>2</v>
      </c>
      <c r="F2168" t="s">
        <v>178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172</v>
      </c>
      <c r="E2169">
        <v>2</v>
      </c>
      <c r="F2169" t="s">
        <v>178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172</v>
      </c>
      <c r="E2170">
        <v>2</v>
      </c>
      <c r="F2170" t="s">
        <v>181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172</v>
      </c>
      <c r="E2171">
        <v>2</v>
      </c>
      <c r="F2171" t="s">
        <v>167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172</v>
      </c>
      <c r="E2172">
        <v>2</v>
      </c>
      <c r="F2172" t="s">
        <v>174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172</v>
      </c>
      <c r="E2173">
        <v>2</v>
      </c>
      <c r="F2173" t="s">
        <v>178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172</v>
      </c>
      <c r="E2174">
        <v>2</v>
      </c>
      <c r="F2174" t="s">
        <v>168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199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172</v>
      </c>
      <c r="E2175">
        <v>2</v>
      </c>
      <c r="F2175" t="s">
        <v>168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199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172</v>
      </c>
      <c r="E2176">
        <v>2</v>
      </c>
      <c r="F2176" t="s">
        <v>168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198</v>
      </c>
      <c r="N2176">
        <v>31</v>
      </c>
      <c r="O2176">
        <v>24</v>
      </c>
      <c r="T2176" t="str">
        <f t="shared" si="243"/>
        <v/>
      </c>
    </row>
    <row r="2177" spans="1:20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172</v>
      </c>
      <c r="E2177">
        <v>2</v>
      </c>
      <c r="F2177" t="s">
        <v>167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172</v>
      </c>
      <c r="E2178">
        <v>2</v>
      </c>
      <c r="F2178" t="s">
        <v>168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166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172</v>
      </c>
      <c r="E2180">
        <v>2</v>
      </c>
      <c r="F2180" t="s">
        <v>167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172</v>
      </c>
      <c r="E2181">
        <v>2</v>
      </c>
      <c r="F2181" t="s">
        <v>178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172</v>
      </c>
      <c r="E2182">
        <v>2</v>
      </c>
      <c r="F2182" t="s">
        <v>192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172</v>
      </c>
      <c r="E2183">
        <v>2</v>
      </c>
      <c r="F2183" t="s">
        <v>167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166</v>
      </c>
      <c r="E2184">
        <v>2</v>
      </c>
      <c r="F2184" t="s">
        <v>167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172</v>
      </c>
      <c r="E2185">
        <v>2</v>
      </c>
      <c r="F2185" t="s">
        <v>178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172</v>
      </c>
      <c r="E2186">
        <v>2</v>
      </c>
      <c r="F2186" t="s">
        <v>182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172</v>
      </c>
      <c r="E2187">
        <v>2</v>
      </c>
      <c r="F2187" t="s">
        <v>182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172</v>
      </c>
      <c r="E2188">
        <v>2</v>
      </c>
      <c r="F2188" t="s">
        <v>182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172</v>
      </c>
      <c r="E2189">
        <v>2</v>
      </c>
      <c r="F2189" t="s">
        <v>182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172</v>
      </c>
      <c r="E2190">
        <v>2</v>
      </c>
      <c r="F2190" t="s">
        <v>182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172</v>
      </c>
      <c r="E2191">
        <v>2</v>
      </c>
      <c r="F2191" t="s">
        <v>182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172</v>
      </c>
      <c r="E2192">
        <v>2</v>
      </c>
      <c r="F2192" t="s">
        <v>182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172</v>
      </c>
      <c r="E2193">
        <v>2</v>
      </c>
      <c r="F2193" t="s">
        <v>182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172</v>
      </c>
      <c r="E2194">
        <v>2</v>
      </c>
      <c r="F2194" t="s">
        <v>182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172</v>
      </c>
      <c r="E2195">
        <v>2</v>
      </c>
      <c r="F2195" t="s">
        <v>182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172</v>
      </c>
      <c r="E2196">
        <v>2</v>
      </c>
      <c r="F2196" t="s">
        <v>168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199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172</v>
      </c>
      <c r="E2197">
        <v>2</v>
      </c>
      <c r="F2197" t="s">
        <v>168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198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172</v>
      </c>
      <c r="E2198">
        <v>2</v>
      </c>
      <c r="F2198" t="s">
        <v>168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199</v>
      </c>
      <c r="N2198">
        <v>23</v>
      </c>
      <c r="O2198">
        <v>10</v>
      </c>
      <c r="T2198" t="str">
        <f t="shared" si="255"/>
        <v/>
      </c>
    </row>
    <row r="2199" spans="1:20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172</v>
      </c>
      <c r="E2199">
        <v>2</v>
      </c>
      <c r="F2199" t="s">
        <v>182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172</v>
      </c>
      <c r="E2200">
        <v>2</v>
      </c>
      <c r="F2200" t="s">
        <v>181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172</v>
      </c>
      <c r="E2201">
        <v>2</v>
      </c>
      <c r="F2201" t="s">
        <v>167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172</v>
      </c>
      <c r="E2202">
        <v>2</v>
      </c>
      <c r="F2202" t="s">
        <v>167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172</v>
      </c>
      <c r="E2203">
        <v>2</v>
      </c>
      <c r="F2203" t="s">
        <v>167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172</v>
      </c>
      <c r="E2204">
        <v>2</v>
      </c>
      <c r="F2204" t="s">
        <v>182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166</v>
      </c>
      <c r="E2205">
        <v>2</v>
      </c>
      <c r="F2205" t="s">
        <v>167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172</v>
      </c>
      <c r="E2206">
        <v>2</v>
      </c>
      <c r="F2206" t="s">
        <v>181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172</v>
      </c>
      <c r="E2207">
        <v>2</v>
      </c>
      <c r="F2207" t="s">
        <v>167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166</v>
      </c>
      <c r="E2208">
        <v>2</v>
      </c>
      <c r="F2208" t="s">
        <v>168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198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166</v>
      </c>
      <c r="E2209">
        <v>2</v>
      </c>
      <c r="F2209" t="s">
        <v>168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199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166</v>
      </c>
      <c r="E2210">
        <v>2</v>
      </c>
      <c r="F2210" t="s">
        <v>168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198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166</v>
      </c>
      <c r="E2211">
        <v>2</v>
      </c>
      <c r="F2211" t="s">
        <v>168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198</v>
      </c>
      <c r="N2211">
        <v>30</v>
      </c>
      <c r="O2211">
        <v>19</v>
      </c>
      <c r="T2211" t="str">
        <f t="shared" si="255"/>
        <v/>
      </c>
    </row>
    <row r="2212" spans="1:20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166</v>
      </c>
      <c r="E2212">
        <v>2</v>
      </c>
      <c r="F2212" t="s">
        <v>167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172</v>
      </c>
      <c r="E2213">
        <v>2</v>
      </c>
      <c r="F2213" t="s">
        <v>182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172</v>
      </c>
      <c r="E2214">
        <v>2</v>
      </c>
      <c r="F2214" t="s">
        <v>182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172</v>
      </c>
      <c r="E2215">
        <v>2</v>
      </c>
      <c r="F2215" t="s">
        <v>181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172</v>
      </c>
      <c r="E2216">
        <v>2</v>
      </c>
      <c r="F2216" t="s">
        <v>178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172</v>
      </c>
      <c r="E2217">
        <v>2</v>
      </c>
      <c r="F2217" t="s">
        <v>182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172</v>
      </c>
      <c r="E2218">
        <v>2</v>
      </c>
      <c r="F2218" t="s">
        <v>182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172</v>
      </c>
      <c r="E2219">
        <v>2</v>
      </c>
      <c r="F2219" t="s">
        <v>182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172</v>
      </c>
      <c r="E2220">
        <v>2</v>
      </c>
      <c r="F2220" t="s">
        <v>182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172</v>
      </c>
      <c r="E2221">
        <v>2</v>
      </c>
      <c r="F2221" t="s">
        <v>182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172</v>
      </c>
      <c r="E2222">
        <v>2</v>
      </c>
      <c r="F2222" t="s">
        <v>168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198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172</v>
      </c>
      <c r="E2223">
        <v>2</v>
      </c>
      <c r="F2223" t="s">
        <v>168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199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172</v>
      </c>
      <c r="E2224">
        <v>2</v>
      </c>
      <c r="F2224" t="s">
        <v>168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199</v>
      </c>
      <c r="N2224">
        <v>12</v>
      </c>
      <c r="O2224">
        <v>1</v>
      </c>
      <c r="T2224" t="str">
        <f t="shared" si="255"/>
        <v/>
      </c>
    </row>
    <row r="2225" spans="1:20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172</v>
      </c>
      <c r="E2225">
        <v>2</v>
      </c>
      <c r="F2225" t="s">
        <v>167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172</v>
      </c>
      <c r="E2226">
        <v>2</v>
      </c>
      <c r="F2226" t="s">
        <v>167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172</v>
      </c>
      <c r="E2227">
        <v>2</v>
      </c>
      <c r="F2227" t="s">
        <v>167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172</v>
      </c>
      <c r="E2228">
        <v>2</v>
      </c>
      <c r="F2228" t="s">
        <v>168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198</v>
      </c>
      <c r="N2228">
        <v>14</v>
      </c>
      <c r="O2228">
        <v>1</v>
      </c>
      <c r="T2228" t="str">
        <f t="shared" si="255"/>
        <v/>
      </c>
    </row>
    <row r="2229" spans="1:20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172</v>
      </c>
      <c r="E2229">
        <v>2</v>
      </c>
      <c r="F2229" t="s">
        <v>182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172</v>
      </c>
      <c r="E2230">
        <v>2</v>
      </c>
      <c r="F2230" t="s">
        <v>182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172</v>
      </c>
      <c r="E2231">
        <v>2</v>
      </c>
      <c r="F2231" t="s">
        <v>167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172</v>
      </c>
      <c r="E2232">
        <v>2</v>
      </c>
      <c r="F2232" t="s">
        <v>182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172</v>
      </c>
      <c r="E2233">
        <v>2</v>
      </c>
      <c r="F2233" t="s">
        <v>167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172</v>
      </c>
      <c r="E2234">
        <v>2</v>
      </c>
      <c r="F2234" t="s">
        <v>182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172</v>
      </c>
      <c r="E2235">
        <v>2</v>
      </c>
      <c r="F2235" t="s">
        <v>182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172</v>
      </c>
      <c r="E2236">
        <v>2</v>
      </c>
      <c r="F2236" t="s">
        <v>182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172</v>
      </c>
      <c r="E2237">
        <v>2</v>
      </c>
      <c r="F2237" t="s">
        <v>182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172</v>
      </c>
      <c r="E2238">
        <v>2</v>
      </c>
      <c r="F2238" t="s">
        <v>182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172</v>
      </c>
      <c r="E2239">
        <v>2</v>
      </c>
      <c r="F2239" t="s">
        <v>182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172</v>
      </c>
      <c r="E2240">
        <v>2</v>
      </c>
      <c r="F2240" t="s">
        <v>168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199</v>
      </c>
      <c r="N2240">
        <v>20</v>
      </c>
      <c r="O2240">
        <v>6</v>
      </c>
      <c r="T2240" t="str">
        <f t="shared" si="255"/>
        <v/>
      </c>
    </row>
    <row r="2241" spans="1:2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172</v>
      </c>
      <c r="E2241">
        <v>2</v>
      </c>
      <c r="F2241" t="s">
        <v>181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172</v>
      </c>
      <c r="E2242">
        <v>2</v>
      </c>
      <c r="F2242" t="s">
        <v>167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172</v>
      </c>
      <c r="E2243">
        <v>2</v>
      </c>
      <c r="F2243" t="s">
        <v>168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198</v>
      </c>
      <c r="N2243">
        <v>24</v>
      </c>
      <c r="O2243">
        <v>11</v>
      </c>
      <c r="T2243" t="str">
        <f t="shared" si="264"/>
        <v/>
      </c>
      <c r="U2243" t="s">
        <v>215</v>
      </c>
    </row>
    <row r="2244" spans="1:2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172</v>
      </c>
      <c r="E2244">
        <v>2</v>
      </c>
      <c r="F2244" t="s">
        <v>182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172</v>
      </c>
      <c r="E2245">
        <v>2</v>
      </c>
      <c r="F2245" t="s">
        <v>167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172</v>
      </c>
      <c r="E2246">
        <v>2</v>
      </c>
      <c r="F2246" t="s">
        <v>182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166</v>
      </c>
      <c r="E2247">
        <v>2</v>
      </c>
      <c r="F2247" t="s">
        <v>168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198</v>
      </c>
      <c r="N2247">
        <v>23</v>
      </c>
      <c r="O2247">
        <v>9</v>
      </c>
      <c r="T2247" t="str">
        <f t="shared" si="264"/>
        <v/>
      </c>
    </row>
    <row r="2248" spans="1:2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166</v>
      </c>
      <c r="E2248">
        <v>2</v>
      </c>
      <c r="F2248" t="s">
        <v>167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172</v>
      </c>
      <c r="E2249">
        <v>2</v>
      </c>
      <c r="F2249" t="s">
        <v>182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172</v>
      </c>
      <c r="E2250">
        <v>2</v>
      </c>
      <c r="F2250" t="s">
        <v>182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172</v>
      </c>
      <c r="E2251">
        <v>2</v>
      </c>
      <c r="F2251" t="s">
        <v>168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198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172</v>
      </c>
      <c r="E2252">
        <v>2</v>
      </c>
      <c r="F2252" t="s">
        <v>168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198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172</v>
      </c>
      <c r="E2253">
        <v>2</v>
      </c>
      <c r="F2253" t="s">
        <v>168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198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172</v>
      </c>
      <c r="E2254">
        <v>2</v>
      </c>
      <c r="F2254" t="s">
        <v>168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199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172</v>
      </c>
      <c r="E2255">
        <v>2</v>
      </c>
      <c r="F2255" t="s">
        <v>182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172</v>
      </c>
      <c r="E2256">
        <v>2</v>
      </c>
      <c r="F2256" t="s">
        <v>181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172</v>
      </c>
      <c r="E2257">
        <v>2</v>
      </c>
      <c r="F2257" t="s">
        <v>167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172</v>
      </c>
      <c r="E2258">
        <v>2</v>
      </c>
      <c r="F2258" t="s">
        <v>167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172</v>
      </c>
      <c r="E2259">
        <v>2</v>
      </c>
      <c r="F2259" t="s">
        <v>168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198</v>
      </c>
      <c r="N2259">
        <v>18</v>
      </c>
      <c r="O2259">
        <v>5</v>
      </c>
      <c r="T2259" t="str">
        <f t="shared" si="264"/>
        <v/>
      </c>
    </row>
    <row r="2260" spans="1:20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172</v>
      </c>
      <c r="E2260">
        <v>2</v>
      </c>
      <c r="F2260" t="s">
        <v>182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172</v>
      </c>
      <c r="E2261">
        <v>2</v>
      </c>
      <c r="F2261" t="s">
        <v>167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172</v>
      </c>
      <c r="E2262">
        <v>2</v>
      </c>
      <c r="F2262" t="s">
        <v>167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172</v>
      </c>
      <c r="E2263">
        <v>2</v>
      </c>
      <c r="F2263" t="s">
        <v>168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199</v>
      </c>
      <c r="N2263">
        <v>18</v>
      </c>
      <c r="O2263">
        <v>5</v>
      </c>
      <c r="T2263" t="str">
        <f t="shared" si="264"/>
        <v/>
      </c>
    </row>
    <row r="2264" spans="1:20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172</v>
      </c>
      <c r="E2264">
        <v>2</v>
      </c>
      <c r="F2264" t="s">
        <v>182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172</v>
      </c>
      <c r="E2265">
        <v>2</v>
      </c>
      <c r="F2265" t="s">
        <v>168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198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172</v>
      </c>
      <c r="E2266">
        <v>2</v>
      </c>
      <c r="F2266" t="s">
        <v>168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199</v>
      </c>
      <c r="N2266">
        <v>24</v>
      </c>
      <c r="O2266">
        <v>12</v>
      </c>
      <c r="T2266" t="str">
        <f t="shared" si="264"/>
        <v/>
      </c>
    </row>
    <row r="2267" spans="1:20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172</v>
      </c>
      <c r="E2267">
        <v>2</v>
      </c>
      <c r="F2267" t="s">
        <v>167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172</v>
      </c>
      <c r="E2268">
        <v>2</v>
      </c>
      <c r="F2268" t="s">
        <v>167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172</v>
      </c>
      <c r="E2269">
        <v>2</v>
      </c>
      <c r="F2269" t="s">
        <v>182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172</v>
      </c>
      <c r="E2270">
        <v>2</v>
      </c>
      <c r="F2270" t="s">
        <v>168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199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172</v>
      </c>
      <c r="E2271">
        <v>2</v>
      </c>
      <c r="F2271" t="s">
        <v>168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198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172</v>
      </c>
      <c r="E2272">
        <v>2</v>
      </c>
      <c r="F2272" t="s">
        <v>168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199</v>
      </c>
      <c r="N2272">
        <v>18</v>
      </c>
      <c r="O2272">
        <v>4</v>
      </c>
      <c r="T2272" t="str">
        <f t="shared" si="264"/>
        <v/>
      </c>
    </row>
    <row r="2273" spans="1:20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172</v>
      </c>
      <c r="E2273">
        <v>2</v>
      </c>
      <c r="F2273" t="s">
        <v>181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172</v>
      </c>
      <c r="E2274">
        <v>2</v>
      </c>
      <c r="F2274" t="s">
        <v>167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172</v>
      </c>
      <c r="E2275">
        <v>2</v>
      </c>
      <c r="F2275" t="s">
        <v>167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166</v>
      </c>
      <c r="E2276">
        <v>1</v>
      </c>
      <c r="F2276" t="s">
        <v>167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172</v>
      </c>
      <c r="E2277">
        <v>2</v>
      </c>
      <c r="F2277" t="s">
        <v>174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172</v>
      </c>
      <c r="E2278">
        <v>2</v>
      </c>
      <c r="F2278" t="s">
        <v>178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172</v>
      </c>
      <c r="E2279">
        <v>2</v>
      </c>
      <c r="F2279" t="s">
        <v>178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172</v>
      </c>
      <c r="E2280">
        <v>2</v>
      </c>
      <c r="F2280" t="s">
        <v>178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172</v>
      </c>
      <c r="E2281">
        <v>2</v>
      </c>
      <c r="F2281" t="s">
        <v>178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172</v>
      </c>
      <c r="E2282">
        <v>2</v>
      </c>
      <c r="F2282" t="s">
        <v>178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172</v>
      </c>
      <c r="E2283">
        <v>2</v>
      </c>
      <c r="F2283" t="s">
        <v>178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172</v>
      </c>
      <c r="E2284">
        <v>2</v>
      </c>
      <c r="F2284" t="s">
        <v>178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172</v>
      </c>
      <c r="E2285">
        <v>2</v>
      </c>
      <c r="F2285" t="s">
        <v>178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172</v>
      </c>
      <c r="E2286">
        <v>2</v>
      </c>
      <c r="F2286" t="s">
        <v>178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172</v>
      </c>
      <c r="E2287">
        <v>2</v>
      </c>
      <c r="F2287" t="s">
        <v>178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172</v>
      </c>
      <c r="E2288">
        <v>2</v>
      </c>
      <c r="F2288" t="s">
        <v>182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172</v>
      </c>
      <c r="E2289">
        <v>2</v>
      </c>
      <c r="F2289" t="s">
        <v>182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172</v>
      </c>
      <c r="E2290">
        <v>2</v>
      </c>
      <c r="F2290" t="s">
        <v>178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172</v>
      </c>
      <c r="E2291">
        <v>2</v>
      </c>
      <c r="F2291" t="s">
        <v>168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198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172</v>
      </c>
      <c r="E2292">
        <v>2</v>
      </c>
      <c r="F2292" t="s">
        <v>168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198</v>
      </c>
      <c r="N2292">
        <v>30.3</v>
      </c>
      <c r="O2292">
        <v>9</v>
      </c>
      <c r="T2292" t="str">
        <f t="shared" si="264"/>
        <v/>
      </c>
    </row>
    <row r="2293" spans="1:20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172</v>
      </c>
      <c r="E2293">
        <v>2</v>
      </c>
      <c r="F2293" t="s">
        <v>181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172</v>
      </c>
      <c r="E2294">
        <v>2</v>
      </c>
      <c r="F2294" t="s">
        <v>181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172</v>
      </c>
      <c r="E2295">
        <v>2</v>
      </c>
      <c r="F2295" t="s">
        <v>167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172</v>
      </c>
      <c r="E2296">
        <v>2</v>
      </c>
      <c r="F2296" t="s">
        <v>167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172</v>
      </c>
      <c r="E2297">
        <v>2</v>
      </c>
      <c r="F2297" t="s">
        <v>182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166</v>
      </c>
      <c r="E2298">
        <v>1</v>
      </c>
      <c r="F2298" t="s">
        <v>168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198</v>
      </c>
      <c r="N2298">
        <v>37.380000000000003</v>
      </c>
      <c r="O2298">
        <v>30</v>
      </c>
      <c r="T2298" t="str">
        <f t="shared" si="264"/>
        <v/>
      </c>
    </row>
    <row r="2299" spans="1:20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172</v>
      </c>
      <c r="E2299">
        <v>2</v>
      </c>
      <c r="F2299" t="s">
        <v>178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172</v>
      </c>
      <c r="E2300">
        <v>2</v>
      </c>
      <c r="F2300" t="s">
        <v>178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172</v>
      </c>
      <c r="E2301">
        <v>2</v>
      </c>
      <c r="F2301" t="s">
        <v>178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172</v>
      </c>
      <c r="E2302">
        <v>2</v>
      </c>
      <c r="F2302" t="s">
        <v>181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172</v>
      </c>
      <c r="E2303">
        <v>2</v>
      </c>
      <c r="F2303" t="s">
        <v>167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172</v>
      </c>
      <c r="E2304">
        <v>2</v>
      </c>
      <c r="F2304" t="s">
        <v>167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172</v>
      </c>
      <c r="E2305">
        <v>2</v>
      </c>
      <c r="F2305" t="s">
        <v>168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199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172</v>
      </c>
      <c r="E2306">
        <v>2</v>
      </c>
      <c r="F2306" t="s">
        <v>182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172</v>
      </c>
      <c r="E2307">
        <v>2</v>
      </c>
      <c r="F2307" t="s">
        <v>182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172</v>
      </c>
      <c r="E2308">
        <v>2</v>
      </c>
      <c r="F2308" t="s">
        <v>167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172</v>
      </c>
      <c r="E2309">
        <v>2</v>
      </c>
      <c r="F2309" t="s">
        <v>182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172</v>
      </c>
      <c r="E2310">
        <v>2</v>
      </c>
      <c r="F2310" t="s">
        <v>178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172</v>
      </c>
      <c r="E2311">
        <v>2</v>
      </c>
      <c r="F2311" t="s">
        <v>168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198</v>
      </c>
      <c r="N2311">
        <v>27.53</v>
      </c>
      <c r="O2311">
        <v>14</v>
      </c>
      <c r="T2311" t="str">
        <f t="shared" si="276"/>
        <v/>
      </c>
    </row>
    <row r="2312" spans="1:20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172</v>
      </c>
      <c r="E2312">
        <v>2</v>
      </c>
      <c r="F2312" t="s">
        <v>181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172</v>
      </c>
      <c r="E2313">
        <v>2</v>
      </c>
      <c r="F2313" t="s">
        <v>167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172</v>
      </c>
      <c r="E2314">
        <v>2</v>
      </c>
      <c r="F2314" t="s">
        <v>182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172</v>
      </c>
      <c r="E2315">
        <v>2</v>
      </c>
      <c r="F2315" t="s">
        <v>182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172</v>
      </c>
      <c r="E2316">
        <v>2</v>
      </c>
      <c r="F2316" t="s">
        <v>167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166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172</v>
      </c>
      <c r="E2318">
        <v>2</v>
      </c>
      <c r="F2318" t="s">
        <v>181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172</v>
      </c>
      <c r="E2319">
        <v>2</v>
      </c>
      <c r="F2319" t="s">
        <v>182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172</v>
      </c>
      <c r="E2320">
        <v>2</v>
      </c>
      <c r="F2320" t="s">
        <v>182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172</v>
      </c>
      <c r="E2321">
        <v>2</v>
      </c>
      <c r="F2321" t="s">
        <v>182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172</v>
      </c>
      <c r="E2322">
        <v>2</v>
      </c>
      <c r="F2322" t="s">
        <v>167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172</v>
      </c>
      <c r="E2323">
        <v>2</v>
      </c>
      <c r="F2323" t="s">
        <v>167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172</v>
      </c>
      <c r="E2324">
        <v>2</v>
      </c>
      <c r="F2324" t="s">
        <v>167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166</v>
      </c>
      <c r="E2325">
        <v>1</v>
      </c>
      <c r="F2325" t="s">
        <v>167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172</v>
      </c>
      <c r="E2326">
        <v>2</v>
      </c>
      <c r="F2326" t="s">
        <v>181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172</v>
      </c>
      <c r="E2327">
        <v>2</v>
      </c>
      <c r="F2327" t="s">
        <v>178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172</v>
      </c>
      <c r="E2328">
        <v>2</v>
      </c>
      <c r="F2328" t="s">
        <v>178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172</v>
      </c>
      <c r="E2329">
        <v>2</v>
      </c>
      <c r="F2329" t="s">
        <v>167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172</v>
      </c>
      <c r="E2330">
        <v>2</v>
      </c>
      <c r="F2330" t="s">
        <v>167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166</v>
      </c>
      <c r="E2331">
        <v>2</v>
      </c>
      <c r="F2331" t="s">
        <v>167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172</v>
      </c>
      <c r="E2332">
        <v>2</v>
      </c>
      <c r="F2332" t="s">
        <v>178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172</v>
      </c>
      <c r="E2333">
        <v>2</v>
      </c>
      <c r="F2333" t="s">
        <v>182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172</v>
      </c>
      <c r="E2334">
        <v>2</v>
      </c>
      <c r="F2334" t="s">
        <v>178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172</v>
      </c>
      <c r="E2335">
        <v>2</v>
      </c>
      <c r="F2335" t="s">
        <v>178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172</v>
      </c>
      <c r="E2336">
        <v>2</v>
      </c>
      <c r="F2336" t="s">
        <v>182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172</v>
      </c>
      <c r="E2337">
        <v>2</v>
      </c>
      <c r="F2337" t="s">
        <v>182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172</v>
      </c>
      <c r="E2338">
        <v>2</v>
      </c>
      <c r="F2338" t="s">
        <v>181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172</v>
      </c>
      <c r="E2339">
        <v>2</v>
      </c>
      <c r="F2339" t="s">
        <v>167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172</v>
      </c>
      <c r="E2340">
        <v>2</v>
      </c>
      <c r="F2340" t="s">
        <v>168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199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172</v>
      </c>
      <c r="E2341">
        <v>2</v>
      </c>
      <c r="F2341" t="s">
        <v>168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198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172</v>
      </c>
      <c r="E2342">
        <v>2</v>
      </c>
      <c r="F2342" t="s">
        <v>168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199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172</v>
      </c>
      <c r="E2343">
        <v>2</v>
      </c>
      <c r="F2343" t="s">
        <v>168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199</v>
      </c>
      <c r="N2343">
        <v>30.93</v>
      </c>
      <c r="O2343">
        <v>19</v>
      </c>
      <c r="T2343" t="str">
        <f t="shared" si="276"/>
        <v/>
      </c>
    </row>
    <row r="2344" spans="1:20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172</v>
      </c>
      <c r="E2344">
        <v>2</v>
      </c>
      <c r="F2344" t="s">
        <v>181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172</v>
      </c>
      <c r="E2345">
        <v>2</v>
      </c>
      <c r="F2345" t="s">
        <v>178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172</v>
      </c>
      <c r="E2346">
        <v>2</v>
      </c>
      <c r="F2346" t="s">
        <v>178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172</v>
      </c>
      <c r="E2347">
        <v>2</v>
      </c>
      <c r="F2347" t="s">
        <v>182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172</v>
      </c>
      <c r="E2348">
        <v>2</v>
      </c>
      <c r="F2348" t="s">
        <v>182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172</v>
      </c>
      <c r="E2349">
        <v>2</v>
      </c>
      <c r="F2349" t="s">
        <v>168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199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172</v>
      </c>
      <c r="E2350">
        <v>2</v>
      </c>
      <c r="F2350" t="s">
        <v>168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198</v>
      </c>
      <c r="N2350">
        <v>23.36</v>
      </c>
      <c r="O2350">
        <v>15</v>
      </c>
      <c r="T2350" t="str">
        <f t="shared" si="276"/>
        <v/>
      </c>
    </row>
    <row r="2351" spans="1:20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172</v>
      </c>
      <c r="E2351">
        <v>2</v>
      </c>
      <c r="F2351" t="s">
        <v>167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166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172</v>
      </c>
      <c r="E2353">
        <v>2</v>
      </c>
      <c r="F2353" t="s">
        <v>178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172</v>
      </c>
      <c r="E2354">
        <v>2</v>
      </c>
      <c r="F2354" t="s">
        <v>182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172</v>
      </c>
      <c r="E2355">
        <v>2</v>
      </c>
      <c r="F2355" t="s">
        <v>181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172</v>
      </c>
      <c r="E2356">
        <v>2</v>
      </c>
      <c r="F2356" t="s">
        <v>167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172</v>
      </c>
      <c r="E2357">
        <v>2</v>
      </c>
      <c r="F2357" t="s">
        <v>174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166</v>
      </c>
      <c r="E2358">
        <v>2</v>
      </c>
      <c r="F2358" t="s">
        <v>168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199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166</v>
      </c>
      <c r="E2359">
        <v>2</v>
      </c>
      <c r="F2359" t="s">
        <v>168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198</v>
      </c>
      <c r="N2359">
        <v>30.28</v>
      </c>
      <c r="O2359">
        <v>19</v>
      </c>
      <c r="T2359" t="str">
        <f t="shared" si="276"/>
        <v/>
      </c>
    </row>
    <row r="2360" spans="1:2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172</v>
      </c>
      <c r="E2360">
        <v>2</v>
      </c>
      <c r="F2360" t="s">
        <v>173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257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172</v>
      </c>
      <c r="E2361">
        <v>2</v>
      </c>
      <c r="F2361" t="s">
        <v>168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198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172</v>
      </c>
      <c r="E2362">
        <v>2</v>
      </c>
      <c r="F2362" t="s">
        <v>168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198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172</v>
      </c>
      <c r="E2363">
        <v>2</v>
      </c>
      <c r="F2363" t="s">
        <v>168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199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172</v>
      </c>
      <c r="E2364">
        <v>2</v>
      </c>
      <c r="F2364" t="s">
        <v>168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199</v>
      </c>
      <c r="N2364">
        <v>19.97</v>
      </c>
      <c r="O2364">
        <v>10</v>
      </c>
      <c r="T2364" t="str">
        <f t="shared" si="276"/>
        <v/>
      </c>
    </row>
    <row r="2365" spans="1:2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172</v>
      </c>
      <c r="E2365">
        <v>2</v>
      </c>
      <c r="F2365" t="s">
        <v>182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172</v>
      </c>
      <c r="E2366">
        <v>2</v>
      </c>
      <c r="F2366" t="s">
        <v>182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172</v>
      </c>
      <c r="E2367">
        <v>2</v>
      </c>
      <c r="F2367" t="s">
        <v>182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172</v>
      </c>
      <c r="E2368">
        <v>2</v>
      </c>
      <c r="F2368" t="s">
        <v>174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172</v>
      </c>
      <c r="E2369">
        <v>2</v>
      </c>
      <c r="F2369" t="s">
        <v>174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172</v>
      </c>
      <c r="E2370">
        <v>2</v>
      </c>
      <c r="F2370" t="s">
        <v>174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172</v>
      </c>
      <c r="E2371">
        <v>2</v>
      </c>
      <c r="F2371" t="s">
        <v>182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172</v>
      </c>
      <c r="E2372">
        <v>2</v>
      </c>
      <c r="F2372" t="s">
        <v>174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172</v>
      </c>
      <c r="E2373">
        <v>2</v>
      </c>
      <c r="F2373" t="s">
        <v>168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198</v>
      </c>
      <c r="N2373">
        <v>17.09</v>
      </c>
      <c r="O2373">
        <v>2</v>
      </c>
      <c r="T2373" t="str">
        <f t="shared" si="287"/>
        <v/>
      </c>
    </row>
    <row r="2374" spans="1:20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172</v>
      </c>
      <c r="E2374">
        <v>2</v>
      </c>
      <c r="F2374" t="s">
        <v>181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172</v>
      </c>
      <c r="E2375">
        <v>2</v>
      </c>
      <c r="F2375" t="s">
        <v>167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166</v>
      </c>
      <c r="E2376">
        <v>2</v>
      </c>
      <c r="F2376" t="s">
        <v>167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172</v>
      </c>
      <c r="E2377">
        <v>2</v>
      </c>
      <c r="F2377" t="s">
        <v>182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172</v>
      </c>
      <c r="E2378">
        <v>2</v>
      </c>
      <c r="F2378" t="s">
        <v>174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172</v>
      </c>
      <c r="E2379">
        <v>2</v>
      </c>
      <c r="F2379" t="s">
        <v>168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199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172</v>
      </c>
      <c r="E2380">
        <v>2</v>
      </c>
      <c r="F2380" t="s">
        <v>168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199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172</v>
      </c>
      <c r="E2381">
        <v>2</v>
      </c>
      <c r="F2381" t="s">
        <v>168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199</v>
      </c>
      <c r="N2381">
        <v>29.5</v>
      </c>
      <c r="O2381">
        <v>9</v>
      </c>
      <c r="T2381" t="str">
        <f t="shared" si="287"/>
        <v/>
      </c>
    </row>
    <row r="2382" spans="1:20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172</v>
      </c>
      <c r="E2382">
        <v>2</v>
      </c>
      <c r="F2382" t="s">
        <v>181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172</v>
      </c>
      <c r="E2383">
        <v>2</v>
      </c>
      <c r="F2383" t="s">
        <v>167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166</v>
      </c>
      <c r="E2384">
        <v>1</v>
      </c>
      <c r="F2384" t="s">
        <v>168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198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166</v>
      </c>
      <c r="E2385">
        <v>1</v>
      </c>
      <c r="F2385" t="s">
        <v>168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198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166</v>
      </c>
      <c r="E2386">
        <v>1</v>
      </c>
      <c r="F2386" t="s">
        <v>168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198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166</v>
      </c>
      <c r="E2387">
        <v>1</v>
      </c>
      <c r="F2387" t="s">
        <v>168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198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166</v>
      </c>
      <c r="E2388">
        <v>1</v>
      </c>
      <c r="F2388" t="s">
        <v>168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198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166</v>
      </c>
      <c r="E2389">
        <v>1</v>
      </c>
      <c r="F2389" t="s">
        <v>168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198</v>
      </c>
      <c r="N2389">
        <v>21.55</v>
      </c>
      <c r="O2389">
        <v>6</v>
      </c>
      <c r="T2389" t="str">
        <f t="shared" si="287"/>
        <v/>
      </c>
    </row>
    <row r="2390" spans="1:20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166</v>
      </c>
      <c r="E2390">
        <v>1</v>
      </c>
      <c r="F2390" t="s">
        <v>167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172</v>
      </c>
      <c r="E2391">
        <v>2</v>
      </c>
      <c r="F2391" t="s">
        <v>181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172</v>
      </c>
      <c r="E2392">
        <v>2</v>
      </c>
      <c r="F2392" t="s">
        <v>182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172</v>
      </c>
      <c r="E2393">
        <v>2</v>
      </c>
      <c r="F2393" t="s">
        <v>182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172</v>
      </c>
      <c r="E2394">
        <v>2</v>
      </c>
      <c r="F2394" t="s">
        <v>182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172</v>
      </c>
      <c r="E2395">
        <v>2</v>
      </c>
      <c r="F2395" t="s">
        <v>182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172</v>
      </c>
      <c r="E2396">
        <v>2</v>
      </c>
      <c r="F2396" t="s">
        <v>182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172</v>
      </c>
      <c r="E2397">
        <v>2</v>
      </c>
      <c r="F2397" t="s">
        <v>182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172</v>
      </c>
      <c r="E2398">
        <v>2</v>
      </c>
      <c r="F2398" t="s">
        <v>182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172</v>
      </c>
      <c r="E2399">
        <v>2</v>
      </c>
      <c r="F2399" t="s">
        <v>182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172</v>
      </c>
      <c r="E2400">
        <v>2</v>
      </c>
      <c r="F2400" t="s">
        <v>168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199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172</v>
      </c>
      <c r="E2401">
        <v>2</v>
      </c>
      <c r="F2401" t="s">
        <v>168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198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172</v>
      </c>
      <c r="E2402">
        <v>2</v>
      </c>
      <c r="F2402" t="s">
        <v>168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198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172</v>
      </c>
      <c r="E2403">
        <v>2</v>
      </c>
      <c r="F2403" t="s">
        <v>168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198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172</v>
      </c>
      <c r="E2404">
        <v>2</v>
      </c>
      <c r="F2404" t="s">
        <v>168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199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172</v>
      </c>
      <c r="E2405">
        <v>2</v>
      </c>
      <c r="F2405" t="s">
        <v>168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198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172</v>
      </c>
      <c r="E2406">
        <v>2</v>
      </c>
      <c r="F2406" t="s">
        <v>168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198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172</v>
      </c>
      <c r="E2407">
        <v>2</v>
      </c>
      <c r="F2407" t="s">
        <v>168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198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172</v>
      </c>
      <c r="E2408">
        <v>2</v>
      </c>
      <c r="F2408" t="s">
        <v>168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198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172</v>
      </c>
      <c r="E2409">
        <v>2</v>
      </c>
      <c r="F2409" t="s">
        <v>168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198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172</v>
      </c>
      <c r="E2410">
        <v>2</v>
      </c>
      <c r="F2410" t="s">
        <v>168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198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172</v>
      </c>
      <c r="E2411">
        <v>2</v>
      </c>
      <c r="F2411" t="s">
        <v>168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198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172</v>
      </c>
      <c r="E2412">
        <v>2</v>
      </c>
      <c r="F2412" t="s">
        <v>168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198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172</v>
      </c>
      <c r="E2413">
        <v>2</v>
      </c>
      <c r="F2413" t="s">
        <v>168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198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172</v>
      </c>
      <c r="E2414">
        <v>2</v>
      </c>
      <c r="F2414" t="s">
        <v>168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198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172</v>
      </c>
      <c r="E2415">
        <v>2</v>
      </c>
      <c r="F2415" t="s">
        <v>168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198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172</v>
      </c>
      <c r="E2416">
        <v>2</v>
      </c>
      <c r="F2416" t="s">
        <v>168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198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172</v>
      </c>
      <c r="E2417">
        <v>2</v>
      </c>
      <c r="F2417" t="s">
        <v>168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199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172</v>
      </c>
      <c r="E2418">
        <v>2</v>
      </c>
      <c r="F2418" t="s">
        <v>168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199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172</v>
      </c>
      <c r="E2419">
        <v>2</v>
      </c>
      <c r="F2419" t="s">
        <v>168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199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172</v>
      </c>
      <c r="E2420">
        <v>2</v>
      </c>
      <c r="F2420" t="s">
        <v>168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198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172</v>
      </c>
      <c r="E2421">
        <v>2</v>
      </c>
      <c r="F2421" t="s">
        <v>168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198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172</v>
      </c>
      <c r="E2422">
        <v>2</v>
      </c>
      <c r="F2422" t="s">
        <v>168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198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172</v>
      </c>
      <c r="E2423">
        <v>2</v>
      </c>
      <c r="F2423" t="s">
        <v>168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198</v>
      </c>
      <c r="N2423">
        <v>29.06</v>
      </c>
      <c r="O2423">
        <v>6</v>
      </c>
      <c r="T2423" t="str">
        <f t="shared" si="287"/>
        <v/>
      </c>
    </row>
    <row r="2424" spans="1:20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172</v>
      </c>
      <c r="E2424">
        <v>2</v>
      </c>
      <c r="F2424" t="s">
        <v>181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172</v>
      </c>
      <c r="E2425">
        <v>2</v>
      </c>
      <c r="F2425" t="s">
        <v>167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172</v>
      </c>
      <c r="E2426">
        <v>2</v>
      </c>
      <c r="F2426" t="s">
        <v>167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166</v>
      </c>
      <c r="E2427">
        <v>1</v>
      </c>
      <c r="F2427" t="s">
        <v>168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199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166</v>
      </c>
      <c r="E2428">
        <v>1</v>
      </c>
      <c r="F2428" t="s">
        <v>168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198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166</v>
      </c>
      <c r="E2429">
        <v>1</v>
      </c>
      <c r="F2429" t="s">
        <v>168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199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166</v>
      </c>
      <c r="E2430">
        <v>1</v>
      </c>
      <c r="F2430" t="s">
        <v>168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198</v>
      </c>
      <c r="N2430">
        <v>30.2</v>
      </c>
      <c r="O2430">
        <v>8</v>
      </c>
      <c r="T2430" t="str">
        <f t="shared" si="287"/>
        <v/>
      </c>
    </row>
    <row r="2431" spans="1:20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166</v>
      </c>
      <c r="E2431">
        <v>1</v>
      </c>
      <c r="F2431" t="s">
        <v>167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172</v>
      </c>
      <c r="E2432">
        <v>2</v>
      </c>
      <c r="F2432" t="s">
        <v>182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172</v>
      </c>
      <c r="E2433">
        <v>2</v>
      </c>
      <c r="F2433" t="s">
        <v>182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172</v>
      </c>
      <c r="E2434">
        <v>2</v>
      </c>
      <c r="F2434" t="s">
        <v>182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172</v>
      </c>
      <c r="E2435">
        <v>2</v>
      </c>
      <c r="F2435" t="s">
        <v>182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172</v>
      </c>
      <c r="E2436">
        <v>2</v>
      </c>
      <c r="F2436" t="s">
        <v>182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172</v>
      </c>
      <c r="E2437">
        <v>2</v>
      </c>
      <c r="F2437" t="s">
        <v>182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172</v>
      </c>
      <c r="E2438">
        <v>2</v>
      </c>
      <c r="F2438" t="s">
        <v>182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172</v>
      </c>
      <c r="E2439">
        <v>2</v>
      </c>
      <c r="F2439" t="s">
        <v>182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172</v>
      </c>
      <c r="E2440">
        <v>2</v>
      </c>
      <c r="F2440" t="s">
        <v>182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172</v>
      </c>
      <c r="E2441">
        <v>2</v>
      </c>
      <c r="F2441" t="s">
        <v>182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172</v>
      </c>
      <c r="E2442">
        <v>2</v>
      </c>
      <c r="F2442" t="s">
        <v>182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172</v>
      </c>
      <c r="E2443">
        <v>2</v>
      </c>
      <c r="F2443" t="s">
        <v>182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172</v>
      </c>
      <c r="E2444">
        <v>2</v>
      </c>
      <c r="F2444" t="s">
        <v>182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172</v>
      </c>
      <c r="E2445">
        <v>2</v>
      </c>
      <c r="F2445" t="s">
        <v>181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172</v>
      </c>
      <c r="E2446">
        <v>2</v>
      </c>
      <c r="F2446" t="s">
        <v>168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199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172</v>
      </c>
      <c r="E2447">
        <v>2</v>
      </c>
      <c r="F2447" t="s">
        <v>168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199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172</v>
      </c>
      <c r="E2448">
        <v>2</v>
      </c>
      <c r="F2448" t="s">
        <v>168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199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172</v>
      </c>
      <c r="E2449">
        <v>2</v>
      </c>
      <c r="F2449" t="s">
        <v>168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198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172</v>
      </c>
      <c r="E2450">
        <v>2</v>
      </c>
      <c r="F2450" t="s">
        <v>168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198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172</v>
      </c>
      <c r="E2451">
        <v>2</v>
      </c>
      <c r="F2451" t="s">
        <v>168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198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172</v>
      </c>
      <c r="E2452">
        <v>2</v>
      </c>
      <c r="F2452" t="s">
        <v>168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198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172</v>
      </c>
      <c r="E2453">
        <v>2</v>
      </c>
      <c r="F2453" t="s">
        <v>168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198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172</v>
      </c>
      <c r="E2454">
        <v>2</v>
      </c>
      <c r="F2454" t="s">
        <v>168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198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172</v>
      </c>
      <c r="E2455">
        <v>2</v>
      </c>
      <c r="F2455" t="s">
        <v>168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199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172</v>
      </c>
      <c r="E2456">
        <v>2</v>
      </c>
      <c r="F2456" t="s">
        <v>168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198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172</v>
      </c>
      <c r="E2457">
        <v>2</v>
      </c>
      <c r="F2457" t="s">
        <v>168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198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172</v>
      </c>
      <c r="E2458">
        <v>2</v>
      </c>
      <c r="F2458" t="s">
        <v>168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198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172</v>
      </c>
      <c r="E2459">
        <v>2</v>
      </c>
      <c r="F2459" t="s">
        <v>168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198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172</v>
      </c>
      <c r="E2460">
        <v>2</v>
      </c>
      <c r="F2460" t="s">
        <v>168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199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172</v>
      </c>
      <c r="E2461">
        <v>2</v>
      </c>
      <c r="F2461" t="s">
        <v>168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198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172</v>
      </c>
      <c r="E2462">
        <v>2</v>
      </c>
      <c r="F2462" t="s">
        <v>168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199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172</v>
      </c>
      <c r="E2463">
        <v>2</v>
      </c>
      <c r="F2463" t="s">
        <v>168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198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172</v>
      </c>
      <c r="E2464">
        <v>2</v>
      </c>
      <c r="F2464" t="s">
        <v>168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198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172</v>
      </c>
      <c r="E2465">
        <v>2</v>
      </c>
      <c r="F2465" t="s">
        <v>168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198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172</v>
      </c>
      <c r="E2466">
        <v>2</v>
      </c>
      <c r="F2466" t="s">
        <v>168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198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172</v>
      </c>
      <c r="E2467">
        <v>2</v>
      </c>
      <c r="F2467" t="s">
        <v>168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198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172</v>
      </c>
      <c r="E2468">
        <v>2</v>
      </c>
      <c r="F2468" t="s">
        <v>168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198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172</v>
      </c>
      <c r="E2469">
        <v>2</v>
      </c>
      <c r="F2469" t="s">
        <v>168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198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172</v>
      </c>
      <c r="E2470">
        <v>2</v>
      </c>
      <c r="F2470" t="s">
        <v>168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198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172</v>
      </c>
      <c r="E2471">
        <v>2</v>
      </c>
      <c r="F2471" t="s">
        <v>168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199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172</v>
      </c>
      <c r="E2472">
        <v>2</v>
      </c>
      <c r="F2472" t="s">
        <v>168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198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172</v>
      </c>
      <c r="E2473">
        <v>2</v>
      </c>
      <c r="F2473" t="s">
        <v>168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198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172</v>
      </c>
      <c r="E2474">
        <v>2</v>
      </c>
      <c r="F2474" t="s">
        <v>168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198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172</v>
      </c>
      <c r="E2475">
        <v>2</v>
      </c>
      <c r="F2475" t="s">
        <v>168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199</v>
      </c>
      <c r="N2475">
        <v>19.12</v>
      </c>
      <c r="O2475">
        <v>4</v>
      </c>
      <c r="T2475" t="str">
        <f t="shared" si="299"/>
        <v/>
      </c>
    </row>
    <row r="2476" spans="1:20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172</v>
      </c>
      <c r="E2476">
        <v>2</v>
      </c>
      <c r="F2476" t="s">
        <v>182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172</v>
      </c>
      <c r="E2477">
        <v>2</v>
      </c>
      <c r="F2477" t="s">
        <v>167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172</v>
      </c>
      <c r="E2478">
        <v>2</v>
      </c>
      <c r="F2478" t="s">
        <v>167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172</v>
      </c>
      <c r="E2479">
        <v>2</v>
      </c>
      <c r="F2479" t="s">
        <v>167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x14ac:dyDescent="0.55000000000000004">
      <c r="B2480" s="15" t="str">
        <f t="shared" ref="B2480:B2503" si="305">A2480 &amp; "_5"</f>
        <v>_5</v>
      </c>
      <c r="E2480">
        <v>2</v>
      </c>
      <c r="G2480" t="e">
        <f t="shared" si="296"/>
        <v>#N/A</v>
      </c>
      <c r="H2480" t="e">
        <f t="shared" si="300"/>
        <v>#N/A</v>
      </c>
      <c r="I2480" t="e">
        <f t="shared" si="301"/>
        <v>#N/A</v>
      </c>
      <c r="J2480" t="e">
        <f t="shared" si="302"/>
        <v>#N/A</v>
      </c>
      <c r="K2480" t="e">
        <f t="shared" si="303"/>
        <v>#N/A</v>
      </c>
      <c r="T2480" t="str">
        <f t="shared" si="299"/>
        <v/>
      </c>
    </row>
    <row r="2481" spans="2:20" x14ac:dyDescent="0.55000000000000004">
      <c r="B2481" s="15" t="str">
        <f t="shared" si="305"/>
        <v>_5</v>
      </c>
      <c r="E2481">
        <v>2</v>
      </c>
      <c r="G2481" t="e">
        <f t="shared" si="296"/>
        <v>#N/A</v>
      </c>
      <c r="H2481" t="e">
        <f t="shared" si="300"/>
        <v>#N/A</v>
      </c>
      <c r="I2481" t="e">
        <f t="shared" si="301"/>
        <v>#N/A</v>
      </c>
      <c r="J2481" t="e">
        <f t="shared" si="302"/>
        <v>#N/A</v>
      </c>
      <c r="K2481" t="e">
        <f t="shared" si="303"/>
        <v>#N/A</v>
      </c>
      <c r="T2481" t="str">
        <f t="shared" si="299"/>
        <v/>
      </c>
    </row>
    <row r="2482" spans="2:20" x14ac:dyDescent="0.55000000000000004">
      <c r="B2482" s="15" t="str">
        <f t="shared" si="305"/>
        <v>_5</v>
      </c>
      <c r="E2482">
        <v>2</v>
      </c>
      <c r="G2482" t="e">
        <f t="shared" si="296"/>
        <v>#N/A</v>
      </c>
      <c r="H2482" t="e">
        <f t="shared" si="300"/>
        <v>#N/A</v>
      </c>
      <c r="I2482" t="e">
        <f t="shared" si="301"/>
        <v>#N/A</v>
      </c>
      <c r="J2482" t="e">
        <f t="shared" si="302"/>
        <v>#N/A</v>
      </c>
      <c r="K2482" t="e">
        <f t="shared" si="303"/>
        <v>#N/A</v>
      </c>
      <c r="T2482" t="str">
        <f t="shared" si="299"/>
        <v/>
      </c>
    </row>
    <row r="2483" spans="2:20" x14ac:dyDescent="0.55000000000000004">
      <c r="B2483" s="15" t="str">
        <f t="shared" si="305"/>
        <v>_5</v>
      </c>
      <c r="E2483">
        <v>2</v>
      </c>
      <c r="G2483" t="e">
        <f t="shared" si="296"/>
        <v>#N/A</v>
      </c>
      <c r="H2483" t="e">
        <f t="shared" si="300"/>
        <v>#N/A</v>
      </c>
      <c r="I2483" t="e">
        <f t="shared" si="301"/>
        <v>#N/A</v>
      </c>
      <c r="J2483" t="e">
        <f t="shared" si="302"/>
        <v>#N/A</v>
      </c>
      <c r="K2483" t="e">
        <f t="shared" si="303"/>
        <v>#N/A</v>
      </c>
      <c r="T2483" t="str">
        <f t="shared" si="299"/>
        <v/>
      </c>
    </row>
    <row r="2484" spans="2:20" x14ac:dyDescent="0.55000000000000004">
      <c r="B2484" s="15" t="str">
        <f t="shared" si="305"/>
        <v>_5</v>
      </c>
      <c r="E2484">
        <v>2</v>
      </c>
      <c r="G2484" t="e">
        <f t="shared" si="296"/>
        <v>#N/A</v>
      </c>
      <c r="H2484" t="e">
        <f t="shared" si="300"/>
        <v>#N/A</v>
      </c>
      <c r="I2484" t="e">
        <f t="shared" si="301"/>
        <v>#N/A</v>
      </c>
      <c r="J2484" t="e">
        <f t="shared" si="302"/>
        <v>#N/A</v>
      </c>
      <c r="K2484" t="e">
        <f t="shared" si="303"/>
        <v>#N/A</v>
      </c>
      <c r="T2484" t="str">
        <f t="shared" si="299"/>
        <v/>
      </c>
    </row>
    <row r="2485" spans="2:20" x14ac:dyDescent="0.55000000000000004">
      <c r="B2485" s="15" t="str">
        <f t="shared" si="305"/>
        <v>_5</v>
      </c>
      <c r="E2485">
        <v>2</v>
      </c>
      <c r="G2485" t="e">
        <f t="shared" si="296"/>
        <v>#N/A</v>
      </c>
      <c r="H2485" t="e">
        <f t="shared" si="300"/>
        <v>#N/A</v>
      </c>
      <c r="I2485" t="e">
        <f t="shared" si="301"/>
        <v>#N/A</v>
      </c>
      <c r="J2485" t="e">
        <f t="shared" si="302"/>
        <v>#N/A</v>
      </c>
      <c r="K2485" t="e">
        <f t="shared" si="303"/>
        <v>#N/A</v>
      </c>
      <c r="T2485" t="str">
        <f t="shared" si="299"/>
        <v/>
      </c>
    </row>
    <row r="2486" spans="2:20" x14ac:dyDescent="0.55000000000000004">
      <c r="B2486" s="15" t="str">
        <f t="shared" si="305"/>
        <v>_5</v>
      </c>
      <c r="E2486">
        <v>2</v>
      </c>
      <c r="G2486" t="e">
        <f t="shared" ref="G2486:G2549" si="306">VLOOKUP($F2486, $W$1:$AB$10, 2, FALSE)</f>
        <v>#N/A</v>
      </c>
      <c r="H2486" t="e">
        <f t="shared" si="300"/>
        <v>#N/A</v>
      </c>
      <c r="I2486" t="e">
        <f t="shared" si="301"/>
        <v>#N/A</v>
      </c>
      <c r="J2486" t="e">
        <f t="shared" si="302"/>
        <v>#N/A</v>
      </c>
      <c r="K2486" t="e">
        <f t="shared" si="303"/>
        <v>#N/A</v>
      </c>
      <c r="T2486" t="str">
        <f t="shared" si="299"/>
        <v/>
      </c>
    </row>
    <row r="2487" spans="2:20" x14ac:dyDescent="0.55000000000000004">
      <c r="B2487" s="15" t="str">
        <f t="shared" si="305"/>
        <v>_5</v>
      </c>
      <c r="E2487">
        <v>2</v>
      </c>
      <c r="G2487" t="e">
        <f t="shared" si="306"/>
        <v>#N/A</v>
      </c>
      <c r="H2487" t="e">
        <f t="shared" si="300"/>
        <v>#N/A</v>
      </c>
      <c r="I2487" t="e">
        <f t="shared" si="301"/>
        <v>#N/A</v>
      </c>
      <c r="J2487" t="e">
        <f t="shared" si="302"/>
        <v>#N/A</v>
      </c>
      <c r="K2487" t="e">
        <f t="shared" si="303"/>
        <v>#N/A</v>
      </c>
      <c r="T2487" t="str">
        <f t="shared" si="299"/>
        <v/>
      </c>
    </row>
    <row r="2488" spans="2:20" x14ac:dyDescent="0.55000000000000004">
      <c r="B2488" s="15" t="str">
        <f t="shared" si="305"/>
        <v>_5</v>
      </c>
      <c r="E2488">
        <v>2</v>
      </c>
      <c r="G2488" t="e">
        <f t="shared" si="306"/>
        <v>#N/A</v>
      </c>
      <c r="H2488" t="e">
        <f t="shared" si="300"/>
        <v>#N/A</v>
      </c>
      <c r="I2488" t="e">
        <f t="shared" si="301"/>
        <v>#N/A</v>
      </c>
      <c r="J2488" t="e">
        <f t="shared" si="302"/>
        <v>#N/A</v>
      </c>
      <c r="K2488" t="e">
        <f t="shared" si="303"/>
        <v>#N/A</v>
      </c>
      <c r="T2488" t="str">
        <f t="shared" si="299"/>
        <v/>
      </c>
    </row>
    <row r="2489" spans="2:20" x14ac:dyDescent="0.55000000000000004">
      <c r="B2489" s="15" t="str">
        <f t="shared" si="305"/>
        <v>_5</v>
      </c>
      <c r="E2489">
        <v>2</v>
      </c>
      <c r="G2489" t="e">
        <f t="shared" si="306"/>
        <v>#N/A</v>
      </c>
      <c r="H2489" t="e">
        <f t="shared" si="300"/>
        <v>#N/A</v>
      </c>
      <c r="I2489" t="e">
        <f t="shared" si="301"/>
        <v>#N/A</v>
      </c>
      <c r="J2489" t="e">
        <f t="shared" si="302"/>
        <v>#N/A</v>
      </c>
      <c r="K2489" t="e">
        <f t="shared" si="303"/>
        <v>#N/A</v>
      </c>
      <c r="T2489" t="str">
        <f t="shared" si="299"/>
        <v/>
      </c>
    </row>
    <row r="2490" spans="2:20" x14ac:dyDescent="0.55000000000000004">
      <c r="B2490" s="15" t="str">
        <f t="shared" si="305"/>
        <v>_5</v>
      </c>
      <c r="E2490">
        <v>2</v>
      </c>
      <c r="G2490" t="e">
        <f t="shared" si="306"/>
        <v>#N/A</v>
      </c>
      <c r="H2490" t="e">
        <f t="shared" si="300"/>
        <v>#N/A</v>
      </c>
      <c r="I2490" t="e">
        <f t="shared" si="301"/>
        <v>#N/A</v>
      </c>
      <c r="J2490" t="e">
        <f t="shared" si="302"/>
        <v>#N/A</v>
      </c>
      <c r="K2490" t="e">
        <f t="shared" si="303"/>
        <v>#N/A</v>
      </c>
      <c r="T2490" t="str">
        <f t="shared" si="299"/>
        <v/>
      </c>
    </row>
    <row r="2491" spans="2:20" x14ac:dyDescent="0.55000000000000004">
      <c r="B2491" s="15" t="str">
        <f t="shared" si="305"/>
        <v>_5</v>
      </c>
      <c r="E2491">
        <v>2</v>
      </c>
      <c r="G2491" t="e">
        <f t="shared" si="306"/>
        <v>#N/A</v>
      </c>
      <c r="H2491" t="e">
        <f t="shared" si="300"/>
        <v>#N/A</v>
      </c>
      <c r="I2491" t="e">
        <f t="shared" si="301"/>
        <v>#N/A</v>
      </c>
      <c r="J2491" t="e">
        <f t="shared" si="302"/>
        <v>#N/A</v>
      </c>
      <c r="K2491" t="e">
        <f t="shared" si="303"/>
        <v>#N/A</v>
      </c>
      <c r="T2491" t="str">
        <f t="shared" si="299"/>
        <v/>
      </c>
    </row>
    <row r="2492" spans="2:20" x14ac:dyDescent="0.55000000000000004">
      <c r="B2492" s="15" t="str">
        <f t="shared" si="305"/>
        <v>_5</v>
      </c>
      <c r="E2492">
        <v>2</v>
      </c>
      <c r="G2492" t="e">
        <f t="shared" si="306"/>
        <v>#N/A</v>
      </c>
      <c r="H2492" t="e">
        <f t="shared" si="300"/>
        <v>#N/A</v>
      </c>
      <c r="I2492" t="e">
        <f t="shared" si="301"/>
        <v>#N/A</v>
      </c>
      <c r="J2492" t="e">
        <f t="shared" si="302"/>
        <v>#N/A</v>
      </c>
      <c r="K2492" t="e">
        <f t="shared" si="303"/>
        <v>#N/A</v>
      </c>
      <c r="T2492" t="str">
        <f t="shared" si="299"/>
        <v/>
      </c>
    </row>
    <row r="2493" spans="2:20" x14ac:dyDescent="0.55000000000000004">
      <c r="B2493" s="15" t="str">
        <f t="shared" si="305"/>
        <v>_5</v>
      </c>
      <c r="E2493">
        <v>2</v>
      </c>
      <c r="G2493" t="e">
        <f t="shared" si="306"/>
        <v>#N/A</v>
      </c>
      <c r="H2493" t="e">
        <f t="shared" si="300"/>
        <v>#N/A</v>
      </c>
      <c r="I2493" t="e">
        <f t="shared" si="301"/>
        <v>#N/A</v>
      </c>
      <c r="J2493" t="e">
        <f t="shared" si="302"/>
        <v>#N/A</v>
      </c>
      <c r="K2493" t="e">
        <f t="shared" si="303"/>
        <v>#N/A</v>
      </c>
      <c r="T2493" t="str">
        <f t="shared" si="299"/>
        <v/>
      </c>
    </row>
    <row r="2494" spans="2:20" x14ac:dyDescent="0.55000000000000004">
      <c r="B2494" s="15" t="str">
        <f t="shared" si="305"/>
        <v>_5</v>
      </c>
      <c r="E2494">
        <v>2</v>
      </c>
      <c r="G2494" t="e">
        <f t="shared" si="306"/>
        <v>#N/A</v>
      </c>
      <c r="H2494" t="e">
        <f t="shared" si="300"/>
        <v>#N/A</v>
      </c>
      <c r="I2494" t="e">
        <f t="shared" si="301"/>
        <v>#N/A</v>
      </c>
      <c r="J2494" t="e">
        <f t="shared" si="302"/>
        <v>#N/A</v>
      </c>
      <c r="K2494" t="e">
        <f t="shared" si="303"/>
        <v>#N/A</v>
      </c>
      <c r="T2494" t="str">
        <f t="shared" si="299"/>
        <v/>
      </c>
    </row>
    <row r="2495" spans="2:20" x14ac:dyDescent="0.55000000000000004">
      <c r="B2495" s="15" t="str">
        <f t="shared" si="305"/>
        <v>_5</v>
      </c>
      <c r="E2495">
        <v>2</v>
      </c>
      <c r="G2495" t="e">
        <f t="shared" si="306"/>
        <v>#N/A</v>
      </c>
      <c r="H2495" t="e">
        <f t="shared" si="300"/>
        <v>#N/A</v>
      </c>
      <c r="I2495" t="e">
        <f t="shared" si="301"/>
        <v>#N/A</v>
      </c>
      <c r="J2495" t="e">
        <f t="shared" si="302"/>
        <v>#N/A</v>
      </c>
      <c r="K2495" t="e">
        <f t="shared" si="303"/>
        <v>#N/A</v>
      </c>
      <c r="T2495" t="str">
        <f t="shared" si="299"/>
        <v/>
      </c>
    </row>
    <row r="2496" spans="2:20" x14ac:dyDescent="0.55000000000000004">
      <c r="B2496" s="15" t="str">
        <f t="shared" si="305"/>
        <v>_5</v>
      </c>
      <c r="E2496">
        <v>2</v>
      </c>
      <c r="G2496" t="e">
        <f t="shared" si="306"/>
        <v>#N/A</v>
      </c>
      <c r="H2496" t="e">
        <f t="shared" si="300"/>
        <v>#N/A</v>
      </c>
      <c r="I2496" t="e">
        <f t="shared" si="301"/>
        <v>#N/A</v>
      </c>
      <c r="J2496" t="e">
        <f t="shared" si="302"/>
        <v>#N/A</v>
      </c>
      <c r="K2496" t="e">
        <f t="shared" si="303"/>
        <v>#N/A</v>
      </c>
      <c r="T2496" t="str">
        <f t="shared" si="299"/>
        <v/>
      </c>
    </row>
    <row r="2497" spans="2:20" x14ac:dyDescent="0.55000000000000004">
      <c r="B2497" s="15" t="str">
        <f t="shared" si="305"/>
        <v>_5</v>
      </c>
      <c r="E2497">
        <v>2</v>
      </c>
      <c r="G2497" t="e">
        <f t="shared" si="306"/>
        <v>#N/A</v>
      </c>
      <c r="H2497" t="e">
        <f t="shared" si="300"/>
        <v>#N/A</v>
      </c>
      <c r="I2497" t="e">
        <f t="shared" si="301"/>
        <v>#N/A</v>
      </c>
      <c r="J2497" t="e">
        <f t="shared" si="302"/>
        <v>#N/A</v>
      </c>
      <c r="K2497" t="e">
        <f t="shared" si="303"/>
        <v>#N/A</v>
      </c>
      <c r="T2497" t="str">
        <f t="shared" si="299"/>
        <v/>
      </c>
    </row>
    <row r="2498" spans="2:20" x14ac:dyDescent="0.55000000000000004">
      <c r="B2498" s="15" t="str">
        <f t="shared" si="305"/>
        <v>_5</v>
      </c>
      <c r="E2498">
        <v>2</v>
      </c>
      <c r="G2498" t="e">
        <f t="shared" si="306"/>
        <v>#N/A</v>
      </c>
      <c r="H2498" t="e">
        <f t="shared" si="300"/>
        <v>#N/A</v>
      </c>
      <c r="I2498" t="e">
        <f t="shared" si="301"/>
        <v>#N/A</v>
      </c>
      <c r="J2498" t="e">
        <f t="shared" si="302"/>
        <v>#N/A</v>
      </c>
      <c r="K2498" t="e">
        <f t="shared" si="303"/>
        <v>#N/A</v>
      </c>
      <c r="T2498" t="str">
        <f t="shared" si="299"/>
        <v/>
      </c>
    </row>
    <row r="2499" spans="2:20" x14ac:dyDescent="0.55000000000000004">
      <c r="B2499" s="15" t="str">
        <f t="shared" si="305"/>
        <v>_5</v>
      </c>
      <c r="E2499">
        <v>2</v>
      </c>
      <c r="G2499" t="e">
        <f t="shared" si="306"/>
        <v>#N/A</v>
      </c>
      <c r="H2499" t="e">
        <f t="shared" si="300"/>
        <v>#N/A</v>
      </c>
      <c r="I2499" t="e">
        <f t="shared" si="301"/>
        <v>#N/A</v>
      </c>
      <c r="J2499" t="e">
        <f t="shared" si="302"/>
        <v>#N/A</v>
      </c>
      <c r="K2499" t="e">
        <f t="shared" si="303"/>
        <v>#N/A</v>
      </c>
      <c r="T2499" t="str">
        <f t="shared" si="299"/>
        <v/>
      </c>
    </row>
    <row r="2500" spans="2:20" x14ac:dyDescent="0.55000000000000004">
      <c r="B2500" s="15" t="str">
        <f t="shared" si="305"/>
        <v>_5</v>
      </c>
      <c r="E2500">
        <v>2</v>
      </c>
      <c r="G2500" t="e">
        <f t="shared" si="306"/>
        <v>#N/A</v>
      </c>
      <c r="H2500" t="e">
        <f t="shared" si="300"/>
        <v>#N/A</v>
      </c>
      <c r="I2500" t="e">
        <f t="shared" si="301"/>
        <v>#N/A</v>
      </c>
      <c r="J2500" t="e">
        <f t="shared" si="302"/>
        <v>#N/A</v>
      </c>
      <c r="K2500" t="e">
        <f t="shared" si="303"/>
        <v>#N/A</v>
      </c>
      <c r="T2500" t="str">
        <f t="shared" ref="T2500:T2563" si="307">IF(S2500&lt;&gt;"", S2500*236.588, "")</f>
        <v/>
      </c>
    </row>
    <row r="2501" spans="2:20" x14ac:dyDescent="0.55000000000000004">
      <c r="B2501" s="15" t="str">
        <f t="shared" si="305"/>
        <v>_5</v>
      </c>
      <c r="E2501">
        <v>2</v>
      </c>
      <c r="G2501" t="e">
        <f t="shared" si="306"/>
        <v>#N/A</v>
      </c>
      <c r="H2501" t="e">
        <f t="shared" si="300"/>
        <v>#N/A</v>
      </c>
      <c r="I2501" t="e">
        <f t="shared" si="301"/>
        <v>#N/A</v>
      </c>
      <c r="J2501" t="e">
        <f t="shared" si="302"/>
        <v>#N/A</v>
      </c>
      <c r="K2501" t="e">
        <f t="shared" si="303"/>
        <v>#N/A</v>
      </c>
      <c r="T2501" t="str">
        <f t="shared" si="307"/>
        <v/>
      </c>
    </row>
    <row r="2502" spans="2:20" x14ac:dyDescent="0.55000000000000004">
      <c r="B2502" s="15" t="str">
        <f t="shared" si="305"/>
        <v>_5</v>
      </c>
      <c r="E2502">
        <v>2</v>
      </c>
      <c r="G2502" t="e">
        <f t="shared" si="306"/>
        <v>#N/A</v>
      </c>
      <c r="H2502" t="e">
        <f t="shared" si="300"/>
        <v>#N/A</v>
      </c>
      <c r="I2502" t="e">
        <f t="shared" si="301"/>
        <v>#N/A</v>
      </c>
      <c r="J2502" t="e">
        <f t="shared" si="302"/>
        <v>#N/A</v>
      </c>
      <c r="K2502" t="e">
        <f t="shared" si="303"/>
        <v>#N/A</v>
      </c>
      <c r="T2502" t="str">
        <f t="shared" si="307"/>
        <v/>
      </c>
    </row>
    <row r="2503" spans="2:20" x14ac:dyDescent="0.55000000000000004">
      <c r="B2503" s="15" t="str">
        <f t="shared" si="305"/>
        <v>_5</v>
      </c>
      <c r="E2503">
        <v>2</v>
      </c>
      <c r="G2503" t="e">
        <f t="shared" si="306"/>
        <v>#N/A</v>
      </c>
      <c r="H2503" t="e">
        <f t="shared" si="300"/>
        <v>#N/A</v>
      </c>
      <c r="I2503" t="e">
        <f t="shared" si="301"/>
        <v>#N/A</v>
      </c>
      <c r="J2503" t="e">
        <f t="shared" si="302"/>
        <v>#N/A</v>
      </c>
      <c r="K2503" t="e">
        <f t="shared" si="303"/>
        <v>#N/A</v>
      </c>
      <c r="T2503" t="str">
        <f t="shared" si="307"/>
        <v/>
      </c>
    </row>
    <row r="2504" spans="2:20" x14ac:dyDescent="0.55000000000000004">
      <c r="B2504" s="15" t="str">
        <f t="shared" ref="B2504:B2567" si="308">A2504 &amp; "_5"</f>
        <v>_5</v>
      </c>
      <c r="E2504">
        <v>2</v>
      </c>
      <c r="G2504" t="e">
        <f t="shared" si="306"/>
        <v>#N/A</v>
      </c>
      <c r="H2504" t="e">
        <f t="shared" si="300"/>
        <v>#N/A</v>
      </c>
      <c r="I2504" t="e">
        <f t="shared" si="301"/>
        <v>#N/A</v>
      </c>
      <c r="J2504" t="e">
        <f t="shared" si="302"/>
        <v>#N/A</v>
      </c>
      <c r="K2504" t="e">
        <f t="shared" si="303"/>
        <v>#N/A</v>
      </c>
      <c r="T2504" t="str">
        <f t="shared" si="307"/>
        <v/>
      </c>
    </row>
    <row r="2505" spans="2:20" x14ac:dyDescent="0.55000000000000004">
      <c r="B2505" s="15" t="str">
        <f t="shared" si="308"/>
        <v>_5</v>
      </c>
      <c r="E2505">
        <v>2</v>
      </c>
      <c r="G2505" t="e">
        <f t="shared" si="306"/>
        <v>#N/A</v>
      </c>
      <c r="H2505" t="e">
        <f t="shared" si="300"/>
        <v>#N/A</v>
      </c>
      <c r="I2505" t="e">
        <f t="shared" si="301"/>
        <v>#N/A</v>
      </c>
      <c r="J2505" t="e">
        <f t="shared" si="302"/>
        <v>#N/A</v>
      </c>
      <c r="K2505" t="e">
        <f t="shared" si="303"/>
        <v>#N/A</v>
      </c>
      <c r="T2505" t="str">
        <f t="shared" si="307"/>
        <v/>
      </c>
    </row>
    <row r="2506" spans="2:20" x14ac:dyDescent="0.55000000000000004">
      <c r="B2506" s="15" t="str">
        <f t="shared" si="308"/>
        <v>_5</v>
      </c>
      <c r="E2506">
        <v>2</v>
      </c>
      <c r="G2506" t="e">
        <f t="shared" si="306"/>
        <v>#N/A</v>
      </c>
      <c r="H2506" t="e">
        <f t="shared" si="300"/>
        <v>#N/A</v>
      </c>
      <c r="I2506" t="e">
        <f t="shared" si="301"/>
        <v>#N/A</v>
      </c>
      <c r="J2506" t="e">
        <f t="shared" si="302"/>
        <v>#N/A</v>
      </c>
      <c r="K2506" t="e">
        <f t="shared" si="303"/>
        <v>#N/A</v>
      </c>
      <c r="T2506" t="str">
        <f t="shared" si="307"/>
        <v/>
      </c>
    </row>
    <row r="2507" spans="2:20" x14ac:dyDescent="0.55000000000000004">
      <c r="B2507" s="15" t="str">
        <f t="shared" si="308"/>
        <v>_5</v>
      </c>
      <c r="E2507">
        <v>2</v>
      </c>
      <c r="G2507" t="e">
        <f t="shared" si="306"/>
        <v>#N/A</v>
      </c>
      <c r="H2507" t="e">
        <f t="shared" si="300"/>
        <v>#N/A</v>
      </c>
      <c r="I2507" t="e">
        <f t="shared" si="301"/>
        <v>#N/A</v>
      </c>
      <c r="J2507" t="e">
        <f t="shared" si="302"/>
        <v>#N/A</v>
      </c>
      <c r="K2507" t="e">
        <f t="shared" si="303"/>
        <v>#N/A</v>
      </c>
      <c r="T2507" t="str">
        <f t="shared" si="307"/>
        <v/>
      </c>
    </row>
    <row r="2508" spans="2:20" x14ac:dyDescent="0.55000000000000004">
      <c r="B2508" s="15" t="str">
        <f t="shared" si="308"/>
        <v>_5</v>
      </c>
      <c r="E2508">
        <v>2</v>
      </c>
      <c r="G2508" t="e">
        <f t="shared" si="306"/>
        <v>#N/A</v>
      </c>
      <c r="H2508" t="e">
        <f t="shared" si="300"/>
        <v>#N/A</v>
      </c>
      <c r="I2508" t="e">
        <f t="shared" si="301"/>
        <v>#N/A</v>
      </c>
      <c r="J2508" t="e">
        <f t="shared" si="302"/>
        <v>#N/A</v>
      </c>
      <c r="K2508" t="e">
        <f t="shared" si="303"/>
        <v>#N/A</v>
      </c>
      <c r="T2508" t="str">
        <f t="shared" si="307"/>
        <v/>
      </c>
    </row>
    <row r="2509" spans="2:20" x14ac:dyDescent="0.55000000000000004">
      <c r="B2509" s="15" t="str">
        <f t="shared" si="308"/>
        <v>_5</v>
      </c>
      <c r="E2509">
        <v>2</v>
      </c>
      <c r="G2509" t="e">
        <f t="shared" si="306"/>
        <v>#N/A</v>
      </c>
      <c r="H2509" t="e">
        <f t="shared" si="300"/>
        <v>#N/A</v>
      </c>
      <c r="I2509" t="e">
        <f t="shared" si="301"/>
        <v>#N/A</v>
      </c>
      <c r="J2509" t="e">
        <f t="shared" si="302"/>
        <v>#N/A</v>
      </c>
      <c r="K2509" t="e">
        <f t="shared" si="303"/>
        <v>#N/A</v>
      </c>
      <c r="T2509" t="str">
        <f t="shared" si="307"/>
        <v/>
      </c>
    </row>
    <row r="2510" spans="2:20" x14ac:dyDescent="0.55000000000000004">
      <c r="B2510" s="15" t="str">
        <f t="shared" si="308"/>
        <v>_5</v>
      </c>
      <c r="E2510">
        <v>2</v>
      </c>
      <c r="G2510" t="e">
        <f t="shared" si="306"/>
        <v>#N/A</v>
      </c>
      <c r="H2510" t="e">
        <f t="shared" si="300"/>
        <v>#N/A</v>
      </c>
      <c r="I2510" t="e">
        <f t="shared" si="301"/>
        <v>#N/A</v>
      </c>
      <c r="J2510" t="e">
        <f t="shared" si="302"/>
        <v>#N/A</v>
      </c>
      <c r="K2510" t="e">
        <f t="shared" si="303"/>
        <v>#N/A</v>
      </c>
      <c r="T2510" t="str">
        <f t="shared" si="307"/>
        <v/>
      </c>
    </row>
    <row r="2511" spans="2:20" x14ac:dyDescent="0.55000000000000004">
      <c r="B2511" s="15" t="str">
        <f t="shared" si="308"/>
        <v>_5</v>
      </c>
      <c r="E2511">
        <v>2</v>
      </c>
      <c r="G2511" t="e">
        <f t="shared" si="306"/>
        <v>#N/A</v>
      </c>
      <c r="H2511" t="e">
        <f t="shared" si="300"/>
        <v>#N/A</v>
      </c>
      <c r="I2511" t="e">
        <f t="shared" si="301"/>
        <v>#N/A</v>
      </c>
      <c r="J2511" t="e">
        <f t="shared" si="302"/>
        <v>#N/A</v>
      </c>
      <c r="K2511" t="e">
        <f t="shared" si="303"/>
        <v>#N/A</v>
      </c>
      <c r="T2511" t="str">
        <f t="shared" si="307"/>
        <v/>
      </c>
    </row>
    <row r="2512" spans="2:20" x14ac:dyDescent="0.55000000000000004">
      <c r="B2512" s="15" t="str">
        <f t="shared" si="308"/>
        <v>_5</v>
      </c>
      <c r="E2512">
        <v>2</v>
      </c>
      <c r="G2512" t="e">
        <f t="shared" si="306"/>
        <v>#N/A</v>
      </c>
      <c r="H2512" t="e">
        <f t="shared" si="300"/>
        <v>#N/A</v>
      </c>
      <c r="I2512" t="e">
        <f t="shared" si="301"/>
        <v>#N/A</v>
      </c>
      <c r="J2512" t="e">
        <f t="shared" si="302"/>
        <v>#N/A</v>
      </c>
      <c r="K2512" t="e">
        <f t="shared" si="303"/>
        <v>#N/A</v>
      </c>
      <c r="T2512" t="str">
        <f t="shared" si="307"/>
        <v/>
      </c>
    </row>
    <row r="2513" spans="2:20" x14ac:dyDescent="0.55000000000000004">
      <c r="B2513" s="15" t="str">
        <f t="shared" si="308"/>
        <v>_5</v>
      </c>
      <c r="E2513">
        <v>2</v>
      </c>
      <c r="G2513" t="e">
        <f t="shared" si="306"/>
        <v>#N/A</v>
      </c>
      <c r="H2513" t="e">
        <f t="shared" ref="H2513:H2576" si="309">VLOOKUP($F2513, $W$1:$AB$10, 3, FALSE)</f>
        <v>#N/A</v>
      </c>
      <c r="I2513" t="e">
        <f t="shared" ref="I2513:I2576" si="310">VLOOKUP($F2513, $W$1:$AB$10, 4, FALSE)</f>
        <v>#N/A</v>
      </c>
      <c r="J2513" t="e">
        <f t="shared" ref="J2513:J2576" si="311">VLOOKUP($F2513, $W$1:$AC$10, 5, FALSE)</f>
        <v>#N/A</v>
      </c>
      <c r="K2513" t="e">
        <f t="shared" ref="K2513:K2576" si="312">VLOOKUP($F2513, $W$1:$AB$10, 6, FALSE)</f>
        <v>#N/A</v>
      </c>
      <c r="T2513" t="str">
        <f t="shared" si="307"/>
        <v/>
      </c>
    </row>
    <row r="2514" spans="2:20" x14ac:dyDescent="0.55000000000000004">
      <c r="B2514" s="15" t="str">
        <f t="shared" si="308"/>
        <v>_5</v>
      </c>
      <c r="E2514">
        <v>2</v>
      </c>
      <c r="G2514" t="e">
        <f t="shared" si="306"/>
        <v>#N/A</v>
      </c>
      <c r="H2514" t="e">
        <f t="shared" si="309"/>
        <v>#N/A</v>
      </c>
      <c r="I2514" t="e">
        <f t="shared" si="310"/>
        <v>#N/A</v>
      </c>
      <c r="J2514" t="e">
        <f t="shared" si="311"/>
        <v>#N/A</v>
      </c>
      <c r="K2514" t="e">
        <f t="shared" si="312"/>
        <v>#N/A</v>
      </c>
      <c r="T2514" t="str">
        <f t="shared" si="307"/>
        <v/>
      </c>
    </row>
    <row r="2515" spans="2:20" x14ac:dyDescent="0.55000000000000004">
      <c r="B2515" s="15" t="str">
        <f t="shared" si="308"/>
        <v>_5</v>
      </c>
      <c r="E2515">
        <v>2</v>
      </c>
      <c r="G2515" t="e">
        <f t="shared" si="306"/>
        <v>#N/A</v>
      </c>
      <c r="H2515" t="e">
        <f t="shared" si="309"/>
        <v>#N/A</v>
      </c>
      <c r="I2515" t="e">
        <f t="shared" si="310"/>
        <v>#N/A</v>
      </c>
      <c r="J2515" t="e">
        <f t="shared" si="311"/>
        <v>#N/A</v>
      </c>
      <c r="K2515" t="e">
        <f t="shared" si="312"/>
        <v>#N/A</v>
      </c>
      <c r="T2515" t="str">
        <f t="shared" si="307"/>
        <v/>
      </c>
    </row>
    <row r="2516" spans="2:20" x14ac:dyDescent="0.55000000000000004">
      <c r="B2516" s="15" t="str">
        <f t="shared" si="308"/>
        <v>_5</v>
      </c>
      <c r="E2516">
        <v>2</v>
      </c>
      <c r="G2516" t="e">
        <f t="shared" si="306"/>
        <v>#N/A</v>
      </c>
      <c r="H2516" t="e">
        <f t="shared" si="309"/>
        <v>#N/A</v>
      </c>
      <c r="I2516" t="e">
        <f t="shared" si="310"/>
        <v>#N/A</v>
      </c>
      <c r="J2516" t="e">
        <f t="shared" si="311"/>
        <v>#N/A</v>
      </c>
      <c r="K2516" t="e">
        <f t="shared" si="312"/>
        <v>#N/A</v>
      </c>
      <c r="T2516" t="str">
        <f t="shared" si="307"/>
        <v/>
      </c>
    </row>
    <row r="2517" spans="2:20" x14ac:dyDescent="0.55000000000000004">
      <c r="B2517" s="15" t="str">
        <f t="shared" si="308"/>
        <v>_5</v>
      </c>
      <c r="E2517">
        <v>2</v>
      </c>
      <c r="G2517" t="e">
        <f t="shared" si="306"/>
        <v>#N/A</v>
      </c>
      <c r="H2517" t="e">
        <f t="shared" si="309"/>
        <v>#N/A</v>
      </c>
      <c r="I2517" t="e">
        <f t="shared" si="310"/>
        <v>#N/A</v>
      </c>
      <c r="J2517" t="e">
        <f t="shared" si="311"/>
        <v>#N/A</v>
      </c>
      <c r="K2517" t="e">
        <f t="shared" si="312"/>
        <v>#N/A</v>
      </c>
      <c r="T2517" t="str">
        <f t="shared" si="307"/>
        <v/>
      </c>
    </row>
    <row r="2518" spans="2:20" x14ac:dyDescent="0.55000000000000004">
      <c r="B2518" s="15" t="str">
        <f t="shared" si="308"/>
        <v>_5</v>
      </c>
      <c r="E2518">
        <v>2</v>
      </c>
      <c r="G2518" t="e">
        <f t="shared" si="306"/>
        <v>#N/A</v>
      </c>
      <c r="H2518" t="e">
        <f t="shared" si="309"/>
        <v>#N/A</v>
      </c>
      <c r="I2518" t="e">
        <f t="shared" si="310"/>
        <v>#N/A</v>
      </c>
      <c r="J2518" t="e">
        <f t="shared" si="311"/>
        <v>#N/A</v>
      </c>
      <c r="K2518" t="e">
        <f t="shared" si="312"/>
        <v>#N/A</v>
      </c>
      <c r="T2518" t="str">
        <f t="shared" si="307"/>
        <v/>
      </c>
    </row>
    <row r="2519" spans="2:20" x14ac:dyDescent="0.55000000000000004">
      <c r="B2519" s="15" t="str">
        <f t="shared" si="308"/>
        <v>_5</v>
      </c>
      <c r="E2519">
        <v>2</v>
      </c>
      <c r="G2519" t="e">
        <f t="shared" si="306"/>
        <v>#N/A</v>
      </c>
      <c r="H2519" t="e">
        <f t="shared" si="309"/>
        <v>#N/A</v>
      </c>
      <c r="I2519" t="e">
        <f t="shared" si="310"/>
        <v>#N/A</v>
      </c>
      <c r="J2519" t="e">
        <f t="shared" si="311"/>
        <v>#N/A</v>
      </c>
      <c r="K2519" t="e">
        <f t="shared" si="312"/>
        <v>#N/A</v>
      </c>
      <c r="T2519" t="str">
        <f t="shared" si="307"/>
        <v/>
      </c>
    </row>
    <row r="2520" spans="2:20" x14ac:dyDescent="0.55000000000000004">
      <c r="B2520" s="15" t="str">
        <f t="shared" si="308"/>
        <v>_5</v>
      </c>
      <c r="E2520">
        <v>2</v>
      </c>
      <c r="G2520" t="e">
        <f t="shared" si="306"/>
        <v>#N/A</v>
      </c>
      <c r="H2520" t="e">
        <f t="shared" si="309"/>
        <v>#N/A</v>
      </c>
      <c r="I2520" t="e">
        <f t="shared" si="310"/>
        <v>#N/A</v>
      </c>
      <c r="J2520" t="e">
        <f t="shared" si="311"/>
        <v>#N/A</v>
      </c>
      <c r="K2520" t="e">
        <f t="shared" si="312"/>
        <v>#N/A</v>
      </c>
      <c r="T2520" t="str">
        <f t="shared" si="307"/>
        <v/>
      </c>
    </row>
    <row r="2521" spans="2:20" x14ac:dyDescent="0.55000000000000004">
      <c r="B2521" s="15" t="str">
        <f t="shared" si="308"/>
        <v>_5</v>
      </c>
      <c r="E2521">
        <v>2</v>
      </c>
      <c r="G2521" t="e">
        <f t="shared" si="306"/>
        <v>#N/A</v>
      </c>
      <c r="H2521" t="e">
        <f t="shared" si="309"/>
        <v>#N/A</v>
      </c>
      <c r="I2521" t="e">
        <f t="shared" si="310"/>
        <v>#N/A</v>
      </c>
      <c r="J2521" t="e">
        <f t="shared" si="311"/>
        <v>#N/A</v>
      </c>
      <c r="K2521" t="e">
        <f t="shared" si="312"/>
        <v>#N/A</v>
      </c>
      <c r="T2521" t="str">
        <f t="shared" si="307"/>
        <v/>
      </c>
    </row>
    <row r="2522" spans="2:20" x14ac:dyDescent="0.55000000000000004">
      <c r="B2522" s="15" t="str">
        <f t="shared" si="308"/>
        <v>_5</v>
      </c>
      <c r="E2522">
        <v>2</v>
      </c>
      <c r="G2522" t="e">
        <f t="shared" si="306"/>
        <v>#N/A</v>
      </c>
      <c r="H2522" t="e">
        <f t="shared" si="309"/>
        <v>#N/A</v>
      </c>
      <c r="I2522" t="e">
        <f t="shared" si="310"/>
        <v>#N/A</v>
      </c>
      <c r="J2522" t="e">
        <f t="shared" si="311"/>
        <v>#N/A</v>
      </c>
      <c r="K2522" t="e">
        <f t="shared" si="312"/>
        <v>#N/A</v>
      </c>
      <c r="T2522" t="str">
        <f t="shared" si="307"/>
        <v/>
      </c>
    </row>
    <row r="2523" spans="2:20" x14ac:dyDescent="0.55000000000000004">
      <c r="B2523" s="15" t="str">
        <f t="shared" si="308"/>
        <v>_5</v>
      </c>
      <c r="E2523">
        <v>2</v>
      </c>
      <c r="G2523" t="e">
        <f t="shared" si="306"/>
        <v>#N/A</v>
      </c>
      <c r="H2523" t="e">
        <f t="shared" si="309"/>
        <v>#N/A</v>
      </c>
      <c r="I2523" t="e">
        <f t="shared" si="310"/>
        <v>#N/A</v>
      </c>
      <c r="J2523" t="e">
        <f t="shared" si="311"/>
        <v>#N/A</v>
      </c>
      <c r="K2523" t="e">
        <f t="shared" si="312"/>
        <v>#N/A</v>
      </c>
      <c r="T2523" t="str">
        <f t="shared" si="307"/>
        <v/>
      </c>
    </row>
    <row r="2524" spans="2:20" x14ac:dyDescent="0.55000000000000004">
      <c r="B2524" s="15" t="str">
        <f t="shared" si="308"/>
        <v>_5</v>
      </c>
      <c r="E2524">
        <v>2</v>
      </c>
      <c r="G2524" t="e">
        <f t="shared" si="306"/>
        <v>#N/A</v>
      </c>
      <c r="H2524" t="e">
        <f t="shared" si="309"/>
        <v>#N/A</v>
      </c>
      <c r="I2524" t="e">
        <f t="shared" si="310"/>
        <v>#N/A</v>
      </c>
      <c r="J2524" t="e">
        <f t="shared" si="311"/>
        <v>#N/A</v>
      </c>
      <c r="K2524" t="e">
        <f t="shared" si="312"/>
        <v>#N/A</v>
      </c>
      <c r="T2524" t="str">
        <f t="shared" si="307"/>
        <v/>
      </c>
    </row>
    <row r="2525" spans="2:20" x14ac:dyDescent="0.55000000000000004">
      <c r="B2525" s="15" t="str">
        <f t="shared" si="308"/>
        <v>_5</v>
      </c>
      <c r="E2525">
        <v>2</v>
      </c>
      <c r="G2525" t="e">
        <f t="shared" si="306"/>
        <v>#N/A</v>
      </c>
      <c r="H2525" t="e">
        <f t="shared" si="309"/>
        <v>#N/A</v>
      </c>
      <c r="I2525" t="e">
        <f t="shared" si="310"/>
        <v>#N/A</v>
      </c>
      <c r="J2525" t="e">
        <f t="shared" si="311"/>
        <v>#N/A</v>
      </c>
      <c r="K2525" t="e">
        <f t="shared" si="312"/>
        <v>#N/A</v>
      </c>
      <c r="T2525" t="str">
        <f t="shared" si="307"/>
        <v/>
      </c>
    </row>
    <row r="2526" spans="2:20" x14ac:dyDescent="0.55000000000000004">
      <c r="B2526" s="15" t="str">
        <f t="shared" si="308"/>
        <v>_5</v>
      </c>
      <c r="E2526">
        <v>2</v>
      </c>
      <c r="G2526" t="e">
        <f t="shared" si="306"/>
        <v>#N/A</v>
      </c>
      <c r="H2526" t="e">
        <f t="shared" si="309"/>
        <v>#N/A</v>
      </c>
      <c r="I2526" t="e">
        <f t="shared" si="310"/>
        <v>#N/A</v>
      </c>
      <c r="J2526" t="e">
        <f t="shared" si="311"/>
        <v>#N/A</v>
      </c>
      <c r="K2526" t="e">
        <f t="shared" si="312"/>
        <v>#N/A</v>
      </c>
      <c r="T2526" t="str">
        <f t="shared" si="307"/>
        <v/>
      </c>
    </row>
    <row r="2527" spans="2:20" x14ac:dyDescent="0.55000000000000004">
      <c r="B2527" s="15" t="str">
        <f t="shared" si="308"/>
        <v>_5</v>
      </c>
      <c r="E2527">
        <v>2</v>
      </c>
      <c r="G2527" t="e">
        <f t="shared" si="306"/>
        <v>#N/A</v>
      </c>
      <c r="H2527" t="e">
        <f t="shared" si="309"/>
        <v>#N/A</v>
      </c>
      <c r="I2527" t="e">
        <f t="shared" si="310"/>
        <v>#N/A</v>
      </c>
      <c r="J2527" t="e">
        <f t="shared" si="311"/>
        <v>#N/A</v>
      </c>
      <c r="K2527" t="e">
        <f t="shared" si="312"/>
        <v>#N/A</v>
      </c>
      <c r="T2527" t="str">
        <f t="shared" si="307"/>
        <v/>
      </c>
    </row>
    <row r="2528" spans="2:20" x14ac:dyDescent="0.55000000000000004">
      <c r="B2528" s="15" t="str">
        <f t="shared" si="308"/>
        <v>_5</v>
      </c>
      <c r="E2528">
        <v>2</v>
      </c>
      <c r="G2528" t="e">
        <f t="shared" si="306"/>
        <v>#N/A</v>
      </c>
      <c r="H2528" t="e">
        <f t="shared" si="309"/>
        <v>#N/A</v>
      </c>
      <c r="I2528" t="e">
        <f t="shared" si="310"/>
        <v>#N/A</v>
      </c>
      <c r="J2528" t="e">
        <f t="shared" si="311"/>
        <v>#N/A</v>
      </c>
      <c r="K2528" t="e">
        <f t="shared" si="312"/>
        <v>#N/A</v>
      </c>
      <c r="T2528" t="str">
        <f t="shared" si="307"/>
        <v/>
      </c>
    </row>
    <row r="2529" spans="2:20" x14ac:dyDescent="0.55000000000000004">
      <c r="B2529" s="15" t="str">
        <f t="shared" si="308"/>
        <v>_5</v>
      </c>
      <c r="E2529">
        <v>2</v>
      </c>
      <c r="G2529" t="e">
        <f t="shared" si="306"/>
        <v>#N/A</v>
      </c>
      <c r="H2529" t="e">
        <f t="shared" si="309"/>
        <v>#N/A</v>
      </c>
      <c r="I2529" t="e">
        <f t="shared" si="310"/>
        <v>#N/A</v>
      </c>
      <c r="J2529" t="e">
        <f t="shared" si="311"/>
        <v>#N/A</v>
      </c>
      <c r="K2529" t="e">
        <f t="shared" si="312"/>
        <v>#N/A</v>
      </c>
      <c r="T2529" t="str">
        <f t="shared" si="307"/>
        <v/>
      </c>
    </row>
    <row r="2530" spans="2:20" x14ac:dyDescent="0.55000000000000004">
      <c r="B2530" s="15" t="str">
        <f t="shared" si="308"/>
        <v>_5</v>
      </c>
      <c r="E2530">
        <v>2</v>
      </c>
      <c r="G2530" t="e">
        <f t="shared" si="306"/>
        <v>#N/A</v>
      </c>
      <c r="H2530" t="e">
        <f t="shared" si="309"/>
        <v>#N/A</v>
      </c>
      <c r="I2530" t="e">
        <f t="shared" si="310"/>
        <v>#N/A</v>
      </c>
      <c r="J2530" t="e">
        <f t="shared" si="311"/>
        <v>#N/A</v>
      </c>
      <c r="K2530" t="e">
        <f t="shared" si="312"/>
        <v>#N/A</v>
      </c>
      <c r="T2530" t="str">
        <f t="shared" si="307"/>
        <v/>
      </c>
    </row>
    <row r="2531" spans="2:20" x14ac:dyDescent="0.55000000000000004">
      <c r="B2531" s="15" t="str">
        <f t="shared" si="308"/>
        <v>_5</v>
      </c>
      <c r="E2531">
        <v>2</v>
      </c>
      <c r="G2531" t="e">
        <f t="shared" si="306"/>
        <v>#N/A</v>
      </c>
      <c r="H2531" t="e">
        <f t="shared" si="309"/>
        <v>#N/A</v>
      </c>
      <c r="I2531" t="e">
        <f t="shared" si="310"/>
        <v>#N/A</v>
      </c>
      <c r="J2531" t="e">
        <f t="shared" si="311"/>
        <v>#N/A</v>
      </c>
      <c r="K2531" t="e">
        <f t="shared" si="312"/>
        <v>#N/A</v>
      </c>
      <c r="T2531" t="str">
        <f t="shared" si="307"/>
        <v/>
      </c>
    </row>
    <row r="2532" spans="2:20" x14ac:dyDescent="0.55000000000000004">
      <c r="B2532" s="15" t="str">
        <f t="shared" si="308"/>
        <v>_5</v>
      </c>
      <c r="E2532">
        <v>2</v>
      </c>
      <c r="G2532" t="e">
        <f t="shared" si="306"/>
        <v>#N/A</v>
      </c>
      <c r="H2532" t="e">
        <f t="shared" si="309"/>
        <v>#N/A</v>
      </c>
      <c r="I2532" t="e">
        <f t="shared" si="310"/>
        <v>#N/A</v>
      </c>
      <c r="J2532" t="e">
        <f t="shared" si="311"/>
        <v>#N/A</v>
      </c>
      <c r="K2532" t="e">
        <f t="shared" si="312"/>
        <v>#N/A</v>
      </c>
      <c r="T2532" t="str">
        <f t="shared" si="307"/>
        <v/>
      </c>
    </row>
    <row r="2533" spans="2:20" x14ac:dyDescent="0.55000000000000004">
      <c r="B2533" s="15" t="str">
        <f t="shared" si="308"/>
        <v>_5</v>
      </c>
      <c r="E2533">
        <v>2</v>
      </c>
      <c r="G2533" t="e">
        <f t="shared" si="306"/>
        <v>#N/A</v>
      </c>
      <c r="H2533" t="e">
        <f t="shared" si="309"/>
        <v>#N/A</v>
      </c>
      <c r="I2533" t="e">
        <f t="shared" si="310"/>
        <v>#N/A</v>
      </c>
      <c r="J2533" t="e">
        <f t="shared" si="311"/>
        <v>#N/A</v>
      </c>
      <c r="K2533" t="e">
        <f t="shared" si="312"/>
        <v>#N/A</v>
      </c>
      <c r="T2533" t="str">
        <f t="shared" si="307"/>
        <v/>
      </c>
    </row>
    <row r="2534" spans="2:20" x14ac:dyDescent="0.55000000000000004">
      <c r="B2534" s="15" t="str">
        <f t="shared" si="308"/>
        <v>_5</v>
      </c>
      <c r="E2534">
        <v>2</v>
      </c>
      <c r="G2534" t="e">
        <f t="shared" si="306"/>
        <v>#N/A</v>
      </c>
      <c r="H2534" t="e">
        <f t="shared" si="309"/>
        <v>#N/A</v>
      </c>
      <c r="I2534" t="e">
        <f t="shared" si="310"/>
        <v>#N/A</v>
      </c>
      <c r="J2534" t="e">
        <f t="shared" si="311"/>
        <v>#N/A</v>
      </c>
      <c r="K2534" t="e">
        <f t="shared" si="312"/>
        <v>#N/A</v>
      </c>
      <c r="T2534" t="str">
        <f t="shared" si="307"/>
        <v/>
      </c>
    </row>
    <row r="2535" spans="2:20" x14ac:dyDescent="0.55000000000000004">
      <c r="B2535" s="15" t="str">
        <f t="shared" si="308"/>
        <v>_5</v>
      </c>
      <c r="E2535">
        <v>2</v>
      </c>
      <c r="G2535" t="e">
        <f t="shared" si="306"/>
        <v>#N/A</v>
      </c>
      <c r="H2535" t="e">
        <f t="shared" si="309"/>
        <v>#N/A</v>
      </c>
      <c r="I2535" t="e">
        <f t="shared" si="310"/>
        <v>#N/A</v>
      </c>
      <c r="J2535" t="e">
        <f t="shared" si="311"/>
        <v>#N/A</v>
      </c>
      <c r="K2535" t="e">
        <f t="shared" si="312"/>
        <v>#N/A</v>
      </c>
      <c r="T2535" t="str">
        <f t="shared" si="307"/>
        <v/>
      </c>
    </row>
    <row r="2536" spans="2:20" x14ac:dyDescent="0.55000000000000004">
      <c r="B2536" s="15" t="str">
        <f t="shared" si="308"/>
        <v>_5</v>
      </c>
      <c r="E2536">
        <v>2</v>
      </c>
      <c r="G2536" t="e">
        <f t="shared" si="306"/>
        <v>#N/A</v>
      </c>
      <c r="H2536" t="e">
        <f t="shared" si="309"/>
        <v>#N/A</v>
      </c>
      <c r="I2536" t="e">
        <f t="shared" si="310"/>
        <v>#N/A</v>
      </c>
      <c r="J2536" t="e">
        <f t="shared" si="311"/>
        <v>#N/A</v>
      </c>
      <c r="K2536" t="e">
        <f t="shared" si="312"/>
        <v>#N/A</v>
      </c>
      <c r="T2536" t="str">
        <f t="shared" si="307"/>
        <v/>
      </c>
    </row>
    <row r="2537" spans="2:20" x14ac:dyDescent="0.55000000000000004">
      <c r="B2537" s="15" t="str">
        <f t="shared" si="308"/>
        <v>_5</v>
      </c>
      <c r="E2537">
        <v>2</v>
      </c>
      <c r="G2537" t="e">
        <f t="shared" si="306"/>
        <v>#N/A</v>
      </c>
      <c r="H2537" t="e">
        <f t="shared" si="309"/>
        <v>#N/A</v>
      </c>
      <c r="I2537" t="e">
        <f t="shared" si="310"/>
        <v>#N/A</v>
      </c>
      <c r="J2537" t="e">
        <f t="shared" si="311"/>
        <v>#N/A</v>
      </c>
      <c r="K2537" t="e">
        <f t="shared" si="312"/>
        <v>#N/A</v>
      </c>
      <c r="T2537" t="str">
        <f t="shared" si="307"/>
        <v/>
      </c>
    </row>
    <row r="2538" spans="2:20" x14ac:dyDescent="0.55000000000000004">
      <c r="B2538" s="15" t="str">
        <f t="shared" si="308"/>
        <v>_5</v>
      </c>
      <c r="E2538">
        <v>2</v>
      </c>
      <c r="G2538" t="e">
        <f t="shared" si="306"/>
        <v>#N/A</v>
      </c>
      <c r="H2538" t="e">
        <f t="shared" si="309"/>
        <v>#N/A</v>
      </c>
      <c r="I2538" t="e">
        <f t="shared" si="310"/>
        <v>#N/A</v>
      </c>
      <c r="J2538" t="e">
        <f t="shared" si="311"/>
        <v>#N/A</v>
      </c>
      <c r="K2538" t="e">
        <f t="shared" si="312"/>
        <v>#N/A</v>
      </c>
      <c r="T2538" t="str">
        <f t="shared" si="307"/>
        <v/>
      </c>
    </row>
    <row r="2539" spans="2:20" x14ac:dyDescent="0.55000000000000004">
      <c r="B2539" s="15" t="str">
        <f t="shared" si="308"/>
        <v>_5</v>
      </c>
      <c r="E2539">
        <v>2</v>
      </c>
      <c r="G2539" t="e">
        <f t="shared" si="306"/>
        <v>#N/A</v>
      </c>
      <c r="H2539" t="e">
        <f t="shared" si="309"/>
        <v>#N/A</v>
      </c>
      <c r="I2539" t="e">
        <f t="shared" si="310"/>
        <v>#N/A</v>
      </c>
      <c r="J2539" t="e">
        <f t="shared" si="311"/>
        <v>#N/A</v>
      </c>
      <c r="K2539" t="e">
        <f t="shared" si="312"/>
        <v>#N/A</v>
      </c>
      <c r="T2539" t="str">
        <f t="shared" si="307"/>
        <v/>
      </c>
    </row>
    <row r="2540" spans="2:20" x14ac:dyDescent="0.55000000000000004">
      <c r="B2540" s="15" t="str">
        <f t="shared" si="308"/>
        <v>_5</v>
      </c>
      <c r="E2540">
        <v>2</v>
      </c>
      <c r="G2540" t="e">
        <f t="shared" si="306"/>
        <v>#N/A</v>
      </c>
      <c r="H2540" t="e">
        <f t="shared" si="309"/>
        <v>#N/A</v>
      </c>
      <c r="I2540" t="e">
        <f t="shared" si="310"/>
        <v>#N/A</v>
      </c>
      <c r="J2540" t="e">
        <f t="shared" si="311"/>
        <v>#N/A</v>
      </c>
      <c r="K2540" t="e">
        <f t="shared" si="312"/>
        <v>#N/A</v>
      </c>
      <c r="T2540" t="str">
        <f t="shared" si="307"/>
        <v/>
      </c>
    </row>
    <row r="2541" spans="2:20" x14ac:dyDescent="0.55000000000000004">
      <c r="B2541" s="15" t="str">
        <f t="shared" si="308"/>
        <v>_5</v>
      </c>
      <c r="E2541">
        <v>2</v>
      </c>
      <c r="G2541" t="e">
        <f t="shared" si="306"/>
        <v>#N/A</v>
      </c>
      <c r="H2541" t="e">
        <f t="shared" si="309"/>
        <v>#N/A</v>
      </c>
      <c r="I2541" t="e">
        <f t="shared" si="310"/>
        <v>#N/A</v>
      </c>
      <c r="J2541" t="e">
        <f t="shared" si="311"/>
        <v>#N/A</v>
      </c>
      <c r="K2541" t="e">
        <f t="shared" si="312"/>
        <v>#N/A</v>
      </c>
      <c r="T2541" t="str">
        <f t="shared" si="307"/>
        <v/>
      </c>
    </row>
    <row r="2542" spans="2:20" x14ac:dyDescent="0.55000000000000004">
      <c r="B2542" s="15" t="str">
        <f t="shared" si="308"/>
        <v>_5</v>
      </c>
      <c r="E2542">
        <v>2</v>
      </c>
      <c r="G2542" t="e">
        <f t="shared" si="306"/>
        <v>#N/A</v>
      </c>
      <c r="H2542" t="e">
        <f t="shared" si="309"/>
        <v>#N/A</v>
      </c>
      <c r="I2542" t="e">
        <f t="shared" si="310"/>
        <v>#N/A</v>
      </c>
      <c r="J2542" t="e">
        <f t="shared" si="311"/>
        <v>#N/A</v>
      </c>
      <c r="K2542" t="e">
        <f t="shared" si="312"/>
        <v>#N/A</v>
      </c>
      <c r="T2542" t="str">
        <f t="shared" si="307"/>
        <v/>
      </c>
    </row>
    <row r="2543" spans="2:20" x14ac:dyDescent="0.55000000000000004">
      <c r="B2543" s="15" t="str">
        <f t="shared" si="308"/>
        <v>_5</v>
      </c>
      <c r="E2543">
        <v>2</v>
      </c>
      <c r="G2543" t="e">
        <f t="shared" si="306"/>
        <v>#N/A</v>
      </c>
      <c r="H2543" t="e">
        <f t="shared" si="309"/>
        <v>#N/A</v>
      </c>
      <c r="I2543" t="e">
        <f t="shared" si="310"/>
        <v>#N/A</v>
      </c>
      <c r="J2543" t="e">
        <f t="shared" si="311"/>
        <v>#N/A</v>
      </c>
      <c r="K2543" t="e">
        <f t="shared" si="312"/>
        <v>#N/A</v>
      </c>
      <c r="T2543" t="str">
        <f t="shared" si="307"/>
        <v/>
      </c>
    </row>
    <row r="2544" spans="2:20" x14ac:dyDescent="0.55000000000000004">
      <c r="B2544" s="15" t="str">
        <f t="shared" si="308"/>
        <v>_5</v>
      </c>
      <c r="E2544">
        <v>2</v>
      </c>
      <c r="G2544" t="e">
        <f t="shared" si="306"/>
        <v>#N/A</v>
      </c>
      <c r="H2544" t="e">
        <f t="shared" si="309"/>
        <v>#N/A</v>
      </c>
      <c r="I2544" t="e">
        <f t="shared" si="310"/>
        <v>#N/A</v>
      </c>
      <c r="J2544" t="e">
        <f t="shared" si="311"/>
        <v>#N/A</v>
      </c>
      <c r="K2544" t="e">
        <f t="shared" si="312"/>
        <v>#N/A</v>
      </c>
      <c r="T2544" t="str">
        <f t="shared" si="307"/>
        <v/>
      </c>
    </row>
    <row r="2545" spans="2:20" x14ac:dyDescent="0.55000000000000004">
      <c r="B2545" s="15" t="str">
        <f t="shared" si="308"/>
        <v>_5</v>
      </c>
      <c r="E2545">
        <v>2</v>
      </c>
      <c r="G2545" t="e">
        <f t="shared" si="306"/>
        <v>#N/A</v>
      </c>
      <c r="H2545" t="e">
        <f t="shared" si="309"/>
        <v>#N/A</v>
      </c>
      <c r="I2545" t="e">
        <f t="shared" si="310"/>
        <v>#N/A</v>
      </c>
      <c r="J2545" t="e">
        <f t="shared" si="311"/>
        <v>#N/A</v>
      </c>
      <c r="K2545" t="e">
        <f t="shared" si="312"/>
        <v>#N/A</v>
      </c>
      <c r="T2545" t="str">
        <f t="shared" si="307"/>
        <v/>
      </c>
    </row>
    <row r="2546" spans="2:20" x14ac:dyDescent="0.55000000000000004">
      <c r="B2546" s="15" t="str">
        <f t="shared" si="308"/>
        <v>_5</v>
      </c>
      <c r="E2546">
        <v>2</v>
      </c>
      <c r="G2546" t="e">
        <f t="shared" si="306"/>
        <v>#N/A</v>
      </c>
      <c r="H2546" t="e">
        <f t="shared" si="309"/>
        <v>#N/A</v>
      </c>
      <c r="I2546" t="e">
        <f t="shared" si="310"/>
        <v>#N/A</v>
      </c>
      <c r="J2546" t="e">
        <f t="shared" si="311"/>
        <v>#N/A</v>
      </c>
      <c r="K2546" t="e">
        <f t="shared" si="312"/>
        <v>#N/A</v>
      </c>
      <c r="T2546" t="str">
        <f t="shared" si="307"/>
        <v/>
      </c>
    </row>
    <row r="2547" spans="2:20" x14ac:dyDescent="0.55000000000000004">
      <c r="B2547" s="15" t="str">
        <f t="shared" si="308"/>
        <v>_5</v>
      </c>
      <c r="E2547">
        <v>2</v>
      </c>
      <c r="G2547" t="e">
        <f t="shared" si="306"/>
        <v>#N/A</v>
      </c>
      <c r="H2547" t="e">
        <f t="shared" si="309"/>
        <v>#N/A</v>
      </c>
      <c r="I2547" t="e">
        <f t="shared" si="310"/>
        <v>#N/A</v>
      </c>
      <c r="J2547" t="e">
        <f t="shared" si="311"/>
        <v>#N/A</v>
      </c>
      <c r="K2547" t="e">
        <f t="shared" si="312"/>
        <v>#N/A</v>
      </c>
      <c r="T2547" t="str">
        <f t="shared" si="307"/>
        <v/>
      </c>
    </row>
    <row r="2548" spans="2:20" x14ac:dyDescent="0.55000000000000004">
      <c r="B2548" s="15" t="str">
        <f t="shared" si="308"/>
        <v>_5</v>
      </c>
      <c r="E2548">
        <v>2</v>
      </c>
      <c r="G2548" t="e">
        <f t="shared" si="306"/>
        <v>#N/A</v>
      </c>
      <c r="H2548" t="e">
        <f t="shared" si="309"/>
        <v>#N/A</v>
      </c>
      <c r="I2548" t="e">
        <f t="shared" si="310"/>
        <v>#N/A</v>
      </c>
      <c r="J2548" t="e">
        <f t="shared" si="311"/>
        <v>#N/A</v>
      </c>
      <c r="K2548" t="e">
        <f t="shared" si="312"/>
        <v>#N/A</v>
      </c>
      <c r="T2548" t="str">
        <f t="shared" si="307"/>
        <v/>
      </c>
    </row>
    <row r="2549" spans="2:20" x14ac:dyDescent="0.55000000000000004">
      <c r="B2549" s="15" t="str">
        <f t="shared" si="308"/>
        <v>_5</v>
      </c>
      <c r="E2549">
        <v>2</v>
      </c>
      <c r="G2549" t="e">
        <f t="shared" si="306"/>
        <v>#N/A</v>
      </c>
      <c r="H2549" t="e">
        <f t="shared" si="309"/>
        <v>#N/A</v>
      </c>
      <c r="I2549" t="e">
        <f t="shared" si="310"/>
        <v>#N/A</v>
      </c>
      <c r="J2549" t="e">
        <f t="shared" si="311"/>
        <v>#N/A</v>
      </c>
      <c r="K2549" t="e">
        <f t="shared" si="312"/>
        <v>#N/A</v>
      </c>
      <c r="T2549" t="str">
        <f t="shared" si="307"/>
        <v/>
      </c>
    </row>
    <row r="2550" spans="2:20" x14ac:dyDescent="0.55000000000000004">
      <c r="B2550" s="15" t="str">
        <f t="shared" si="308"/>
        <v>_5</v>
      </c>
      <c r="E2550">
        <v>2</v>
      </c>
      <c r="G2550" t="e">
        <f t="shared" ref="G2550:G2613" si="313">VLOOKUP($F2550, $W$1:$AB$10, 2, FALSE)</f>
        <v>#N/A</v>
      </c>
      <c r="H2550" t="e">
        <f t="shared" si="309"/>
        <v>#N/A</v>
      </c>
      <c r="I2550" t="e">
        <f t="shared" si="310"/>
        <v>#N/A</v>
      </c>
      <c r="J2550" t="e">
        <f t="shared" si="311"/>
        <v>#N/A</v>
      </c>
      <c r="K2550" t="e">
        <f t="shared" si="312"/>
        <v>#N/A</v>
      </c>
      <c r="T2550" t="str">
        <f t="shared" si="307"/>
        <v/>
      </c>
    </row>
    <row r="2551" spans="2:20" x14ac:dyDescent="0.55000000000000004">
      <c r="B2551" s="15" t="str">
        <f t="shared" si="308"/>
        <v>_5</v>
      </c>
      <c r="E2551">
        <v>2</v>
      </c>
      <c r="G2551" t="e">
        <f t="shared" si="313"/>
        <v>#N/A</v>
      </c>
      <c r="H2551" t="e">
        <f t="shared" si="309"/>
        <v>#N/A</v>
      </c>
      <c r="I2551" t="e">
        <f t="shared" si="310"/>
        <v>#N/A</v>
      </c>
      <c r="J2551" t="e">
        <f t="shared" si="311"/>
        <v>#N/A</v>
      </c>
      <c r="K2551" t="e">
        <f t="shared" si="312"/>
        <v>#N/A</v>
      </c>
      <c r="T2551" t="str">
        <f t="shared" si="307"/>
        <v/>
      </c>
    </row>
    <row r="2552" spans="2:20" x14ac:dyDescent="0.55000000000000004">
      <c r="B2552" s="15" t="str">
        <f t="shared" si="308"/>
        <v>_5</v>
      </c>
      <c r="E2552">
        <v>2</v>
      </c>
      <c r="G2552" t="e">
        <f t="shared" si="313"/>
        <v>#N/A</v>
      </c>
      <c r="H2552" t="e">
        <f t="shared" si="309"/>
        <v>#N/A</v>
      </c>
      <c r="I2552" t="e">
        <f t="shared" si="310"/>
        <v>#N/A</v>
      </c>
      <c r="J2552" t="e">
        <f t="shared" si="311"/>
        <v>#N/A</v>
      </c>
      <c r="K2552" t="e">
        <f t="shared" si="312"/>
        <v>#N/A</v>
      </c>
      <c r="T2552" t="str">
        <f t="shared" si="307"/>
        <v/>
      </c>
    </row>
    <row r="2553" spans="2:20" x14ac:dyDescent="0.55000000000000004">
      <c r="B2553" s="15" t="str">
        <f t="shared" si="308"/>
        <v>_5</v>
      </c>
      <c r="E2553">
        <v>2</v>
      </c>
      <c r="G2553" t="e">
        <f t="shared" si="313"/>
        <v>#N/A</v>
      </c>
      <c r="H2553" t="e">
        <f t="shared" si="309"/>
        <v>#N/A</v>
      </c>
      <c r="I2553" t="e">
        <f t="shared" si="310"/>
        <v>#N/A</v>
      </c>
      <c r="J2553" t="e">
        <f t="shared" si="311"/>
        <v>#N/A</v>
      </c>
      <c r="K2553" t="e">
        <f t="shared" si="312"/>
        <v>#N/A</v>
      </c>
      <c r="T2553" t="str">
        <f t="shared" si="307"/>
        <v/>
      </c>
    </row>
    <row r="2554" spans="2:20" x14ac:dyDescent="0.55000000000000004">
      <c r="B2554" s="15" t="str">
        <f t="shared" si="308"/>
        <v>_5</v>
      </c>
      <c r="E2554">
        <v>2</v>
      </c>
      <c r="G2554" t="e">
        <f t="shared" si="313"/>
        <v>#N/A</v>
      </c>
      <c r="H2554" t="e">
        <f t="shared" si="309"/>
        <v>#N/A</v>
      </c>
      <c r="I2554" t="e">
        <f t="shared" si="310"/>
        <v>#N/A</v>
      </c>
      <c r="J2554" t="e">
        <f t="shared" si="311"/>
        <v>#N/A</v>
      </c>
      <c r="K2554" t="e">
        <f t="shared" si="312"/>
        <v>#N/A</v>
      </c>
      <c r="T2554" t="str">
        <f t="shared" si="307"/>
        <v/>
      </c>
    </row>
    <row r="2555" spans="2:20" x14ac:dyDescent="0.55000000000000004">
      <c r="B2555" s="15" t="str">
        <f t="shared" si="308"/>
        <v>_5</v>
      </c>
      <c r="E2555">
        <v>2</v>
      </c>
      <c r="G2555" t="e">
        <f t="shared" si="313"/>
        <v>#N/A</v>
      </c>
      <c r="H2555" t="e">
        <f t="shared" si="309"/>
        <v>#N/A</v>
      </c>
      <c r="I2555" t="e">
        <f t="shared" si="310"/>
        <v>#N/A</v>
      </c>
      <c r="J2555" t="e">
        <f t="shared" si="311"/>
        <v>#N/A</v>
      </c>
      <c r="K2555" t="e">
        <f t="shared" si="312"/>
        <v>#N/A</v>
      </c>
      <c r="T2555" t="str">
        <f t="shared" si="307"/>
        <v/>
      </c>
    </row>
    <row r="2556" spans="2:20" x14ac:dyDescent="0.55000000000000004">
      <c r="B2556" s="15" t="str">
        <f t="shared" si="308"/>
        <v>_5</v>
      </c>
      <c r="E2556">
        <v>2</v>
      </c>
      <c r="G2556" t="e">
        <f t="shared" si="313"/>
        <v>#N/A</v>
      </c>
      <c r="H2556" t="e">
        <f t="shared" si="309"/>
        <v>#N/A</v>
      </c>
      <c r="I2556" t="e">
        <f t="shared" si="310"/>
        <v>#N/A</v>
      </c>
      <c r="J2556" t="e">
        <f t="shared" si="311"/>
        <v>#N/A</v>
      </c>
      <c r="K2556" t="e">
        <f t="shared" si="312"/>
        <v>#N/A</v>
      </c>
      <c r="T2556" t="str">
        <f t="shared" si="307"/>
        <v/>
      </c>
    </row>
    <row r="2557" spans="2:20" x14ac:dyDescent="0.55000000000000004">
      <c r="B2557" s="15" t="str">
        <f t="shared" si="308"/>
        <v>_5</v>
      </c>
      <c r="E2557">
        <v>2</v>
      </c>
      <c r="G2557" t="e">
        <f t="shared" si="313"/>
        <v>#N/A</v>
      </c>
      <c r="H2557" t="e">
        <f t="shared" si="309"/>
        <v>#N/A</v>
      </c>
      <c r="I2557" t="e">
        <f t="shared" si="310"/>
        <v>#N/A</v>
      </c>
      <c r="J2557" t="e">
        <f t="shared" si="311"/>
        <v>#N/A</v>
      </c>
      <c r="K2557" t="e">
        <f t="shared" si="312"/>
        <v>#N/A</v>
      </c>
      <c r="T2557" t="str">
        <f t="shared" si="307"/>
        <v/>
      </c>
    </row>
    <row r="2558" spans="2:20" x14ac:dyDescent="0.55000000000000004">
      <c r="B2558" s="15" t="str">
        <f t="shared" si="308"/>
        <v>_5</v>
      </c>
      <c r="E2558">
        <v>2</v>
      </c>
      <c r="G2558" t="e">
        <f t="shared" si="313"/>
        <v>#N/A</v>
      </c>
      <c r="H2558" t="e">
        <f t="shared" si="309"/>
        <v>#N/A</v>
      </c>
      <c r="I2558" t="e">
        <f t="shared" si="310"/>
        <v>#N/A</v>
      </c>
      <c r="J2558" t="e">
        <f t="shared" si="311"/>
        <v>#N/A</v>
      </c>
      <c r="K2558" t="e">
        <f t="shared" si="312"/>
        <v>#N/A</v>
      </c>
      <c r="T2558" t="str">
        <f t="shared" si="307"/>
        <v/>
      </c>
    </row>
    <row r="2559" spans="2:20" x14ac:dyDescent="0.55000000000000004">
      <c r="B2559" s="15" t="str">
        <f t="shared" si="308"/>
        <v>_5</v>
      </c>
      <c r="E2559">
        <v>2</v>
      </c>
      <c r="G2559" t="e">
        <f t="shared" si="313"/>
        <v>#N/A</v>
      </c>
      <c r="H2559" t="e">
        <f t="shared" si="309"/>
        <v>#N/A</v>
      </c>
      <c r="I2559" t="e">
        <f t="shared" si="310"/>
        <v>#N/A</v>
      </c>
      <c r="J2559" t="e">
        <f t="shared" si="311"/>
        <v>#N/A</v>
      </c>
      <c r="K2559" t="e">
        <f t="shared" si="312"/>
        <v>#N/A</v>
      </c>
      <c r="T2559" t="str">
        <f t="shared" si="307"/>
        <v/>
      </c>
    </row>
    <row r="2560" spans="2:20" x14ac:dyDescent="0.55000000000000004">
      <c r="B2560" s="15" t="str">
        <f t="shared" si="308"/>
        <v>_5</v>
      </c>
      <c r="E2560">
        <v>2</v>
      </c>
      <c r="G2560" t="e">
        <f t="shared" si="313"/>
        <v>#N/A</v>
      </c>
      <c r="H2560" t="e">
        <f t="shared" si="309"/>
        <v>#N/A</v>
      </c>
      <c r="I2560" t="e">
        <f t="shared" si="310"/>
        <v>#N/A</v>
      </c>
      <c r="J2560" t="e">
        <f t="shared" si="311"/>
        <v>#N/A</v>
      </c>
      <c r="K2560" t="e">
        <f t="shared" si="312"/>
        <v>#N/A</v>
      </c>
      <c r="T2560" t="str">
        <f t="shared" si="307"/>
        <v/>
      </c>
    </row>
    <row r="2561" spans="2:20" x14ac:dyDescent="0.55000000000000004">
      <c r="B2561" s="15" t="str">
        <f t="shared" si="308"/>
        <v>_5</v>
      </c>
      <c r="E2561">
        <v>2</v>
      </c>
      <c r="G2561" t="e">
        <f t="shared" si="313"/>
        <v>#N/A</v>
      </c>
      <c r="H2561" t="e">
        <f t="shared" si="309"/>
        <v>#N/A</v>
      </c>
      <c r="I2561" t="e">
        <f t="shared" si="310"/>
        <v>#N/A</v>
      </c>
      <c r="J2561" t="e">
        <f t="shared" si="311"/>
        <v>#N/A</v>
      </c>
      <c r="K2561" t="e">
        <f t="shared" si="312"/>
        <v>#N/A</v>
      </c>
      <c r="T2561" t="str">
        <f t="shared" si="307"/>
        <v/>
      </c>
    </row>
    <row r="2562" spans="2:20" x14ac:dyDescent="0.55000000000000004">
      <c r="B2562" s="15" t="str">
        <f t="shared" si="308"/>
        <v>_5</v>
      </c>
      <c r="E2562">
        <v>2</v>
      </c>
      <c r="G2562" t="e">
        <f t="shared" si="313"/>
        <v>#N/A</v>
      </c>
      <c r="H2562" t="e">
        <f t="shared" si="309"/>
        <v>#N/A</v>
      </c>
      <c r="I2562" t="e">
        <f t="shared" si="310"/>
        <v>#N/A</v>
      </c>
      <c r="J2562" t="e">
        <f t="shared" si="311"/>
        <v>#N/A</v>
      </c>
      <c r="K2562" t="e">
        <f t="shared" si="312"/>
        <v>#N/A</v>
      </c>
      <c r="T2562" t="str">
        <f t="shared" si="307"/>
        <v/>
      </c>
    </row>
    <row r="2563" spans="2:20" x14ac:dyDescent="0.55000000000000004">
      <c r="B2563" s="15" t="str">
        <f t="shared" si="308"/>
        <v>_5</v>
      </c>
      <c r="E2563">
        <v>2</v>
      </c>
      <c r="G2563" t="e">
        <f t="shared" si="313"/>
        <v>#N/A</v>
      </c>
      <c r="H2563" t="e">
        <f t="shared" si="309"/>
        <v>#N/A</v>
      </c>
      <c r="I2563" t="e">
        <f t="shared" si="310"/>
        <v>#N/A</v>
      </c>
      <c r="J2563" t="e">
        <f t="shared" si="311"/>
        <v>#N/A</v>
      </c>
      <c r="K2563" t="e">
        <f t="shared" si="312"/>
        <v>#N/A</v>
      </c>
      <c r="T2563" t="str">
        <f t="shared" si="307"/>
        <v/>
      </c>
    </row>
    <row r="2564" spans="2:20" x14ac:dyDescent="0.55000000000000004">
      <c r="B2564" s="15" t="str">
        <f t="shared" si="308"/>
        <v>_5</v>
      </c>
      <c r="E2564">
        <v>2</v>
      </c>
      <c r="G2564" t="e">
        <f t="shared" si="313"/>
        <v>#N/A</v>
      </c>
      <c r="H2564" t="e">
        <f t="shared" si="309"/>
        <v>#N/A</v>
      </c>
      <c r="I2564" t="e">
        <f t="shared" si="310"/>
        <v>#N/A</v>
      </c>
      <c r="J2564" t="e">
        <f t="shared" si="311"/>
        <v>#N/A</v>
      </c>
      <c r="K2564" t="e">
        <f t="shared" si="312"/>
        <v>#N/A</v>
      </c>
      <c r="T2564" t="str">
        <f t="shared" ref="T2564:T2627" si="314">IF(S2564&lt;&gt;"", S2564*236.588, "")</f>
        <v/>
      </c>
    </row>
    <row r="2565" spans="2:20" x14ac:dyDescent="0.55000000000000004">
      <c r="B2565" s="15" t="str">
        <f t="shared" si="308"/>
        <v>_5</v>
      </c>
      <c r="E2565">
        <v>2</v>
      </c>
      <c r="G2565" t="e">
        <f t="shared" si="313"/>
        <v>#N/A</v>
      </c>
      <c r="H2565" t="e">
        <f t="shared" si="309"/>
        <v>#N/A</v>
      </c>
      <c r="I2565" t="e">
        <f t="shared" si="310"/>
        <v>#N/A</v>
      </c>
      <c r="J2565" t="e">
        <f t="shared" si="311"/>
        <v>#N/A</v>
      </c>
      <c r="K2565" t="e">
        <f t="shared" si="312"/>
        <v>#N/A</v>
      </c>
      <c r="T2565" t="str">
        <f t="shared" si="314"/>
        <v/>
      </c>
    </row>
    <row r="2566" spans="2:20" x14ac:dyDescent="0.55000000000000004">
      <c r="B2566" s="15" t="str">
        <f t="shared" si="308"/>
        <v>_5</v>
      </c>
      <c r="E2566">
        <v>2</v>
      </c>
      <c r="G2566" t="e">
        <f t="shared" si="313"/>
        <v>#N/A</v>
      </c>
      <c r="H2566" t="e">
        <f t="shared" si="309"/>
        <v>#N/A</v>
      </c>
      <c r="I2566" t="e">
        <f t="shared" si="310"/>
        <v>#N/A</v>
      </c>
      <c r="J2566" t="e">
        <f t="shared" si="311"/>
        <v>#N/A</v>
      </c>
      <c r="K2566" t="e">
        <f t="shared" si="312"/>
        <v>#N/A</v>
      </c>
      <c r="T2566" t="str">
        <f t="shared" si="314"/>
        <v/>
      </c>
    </row>
    <row r="2567" spans="2:20" x14ac:dyDescent="0.55000000000000004">
      <c r="B2567" s="15" t="str">
        <f t="shared" si="308"/>
        <v>_5</v>
      </c>
      <c r="E2567">
        <v>2</v>
      </c>
      <c r="G2567" t="e">
        <f t="shared" si="313"/>
        <v>#N/A</v>
      </c>
      <c r="H2567" t="e">
        <f t="shared" si="309"/>
        <v>#N/A</v>
      </c>
      <c r="I2567" t="e">
        <f t="shared" si="310"/>
        <v>#N/A</v>
      </c>
      <c r="J2567" t="e">
        <f t="shared" si="311"/>
        <v>#N/A</v>
      </c>
      <c r="K2567" t="e">
        <f t="shared" si="312"/>
        <v>#N/A</v>
      </c>
      <c r="T2567" t="str">
        <f t="shared" si="314"/>
        <v/>
      </c>
    </row>
    <row r="2568" spans="2:20" x14ac:dyDescent="0.55000000000000004">
      <c r="B2568" s="15" t="str">
        <f t="shared" ref="B2568:B2631" si="315">A2568 &amp; "_5"</f>
        <v>_5</v>
      </c>
      <c r="E2568">
        <v>2</v>
      </c>
      <c r="G2568" t="e">
        <f t="shared" si="313"/>
        <v>#N/A</v>
      </c>
      <c r="H2568" t="e">
        <f t="shared" si="309"/>
        <v>#N/A</v>
      </c>
      <c r="I2568" t="e">
        <f t="shared" si="310"/>
        <v>#N/A</v>
      </c>
      <c r="J2568" t="e">
        <f t="shared" si="311"/>
        <v>#N/A</v>
      </c>
      <c r="K2568" t="e">
        <f t="shared" si="312"/>
        <v>#N/A</v>
      </c>
      <c r="T2568" t="str">
        <f t="shared" si="314"/>
        <v/>
      </c>
    </row>
    <row r="2569" spans="2:20" x14ac:dyDescent="0.55000000000000004">
      <c r="B2569" s="15" t="str">
        <f t="shared" si="315"/>
        <v>_5</v>
      </c>
      <c r="E2569">
        <v>2</v>
      </c>
      <c r="G2569" t="e">
        <f t="shared" si="313"/>
        <v>#N/A</v>
      </c>
      <c r="H2569" t="e">
        <f t="shared" si="309"/>
        <v>#N/A</v>
      </c>
      <c r="I2569" t="e">
        <f t="shared" si="310"/>
        <v>#N/A</v>
      </c>
      <c r="J2569" t="e">
        <f t="shared" si="311"/>
        <v>#N/A</v>
      </c>
      <c r="K2569" t="e">
        <f t="shared" si="312"/>
        <v>#N/A</v>
      </c>
      <c r="T2569" t="str">
        <f t="shared" si="314"/>
        <v/>
      </c>
    </row>
    <row r="2570" spans="2:20" x14ac:dyDescent="0.55000000000000004">
      <c r="B2570" s="15" t="str">
        <f t="shared" si="315"/>
        <v>_5</v>
      </c>
      <c r="E2570">
        <v>2</v>
      </c>
      <c r="G2570" t="e">
        <f t="shared" si="313"/>
        <v>#N/A</v>
      </c>
      <c r="H2570" t="e">
        <f t="shared" si="309"/>
        <v>#N/A</v>
      </c>
      <c r="I2570" t="e">
        <f t="shared" si="310"/>
        <v>#N/A</v>
      </c>
      <c r="J2570" t="e">
        <f t="shared" si="311"/>
        <v>#N/A</v>
      </c>
      <c r="K2570" t="e">
        <f t="shared" si="312"/>
        <v>#N/A</v>
      </c>
      <c r="T2570" t="str">
        <f t="shared" si="314"/>
        <v/>
      </c>
    </row>
    <row r="2571" spans="2:20" x14ac:dyDescent="0.55000000000000004">
      <c r="B2571" s="15" t="str">
        <f t="shared" si="315"/>
        <v>_5</v>
      </c>
      <c r="E2571">
        <v>2</v>
      </c>
      <c r="G2571" t="e">
        <f t="shared" si="313"/>
        <v>#N/A</v>
      </c>
      <c r="H2571" t="e">
        <f t="shared" si="309"/>
        <v>#N/A</v>
      </c>
      <c r="I2571" t="e">
        <f t="shared" si="310"/>
        <v>#N/A</v>
      </c>
      <c r="J2571" t="e">
        <f t="shared" si="311"/>
        <v>#N/A</v>
      </c>
      <c r="K2571" t="e">
        <f t="shared" si="312"/>
        <v>#N/A</v>
      </c>
      <c r="T2571" t="str">
        <f t="shared" si="314"/>
        <v/>
      </c>
    </row>
    <row r="2572" spans="2:20" x14ac:dyDescent="0.55000000000000004">
      <c r="B2572" s="15" t="str">
        <f t="shared" si="315"/>
        <v>_5</v>
      </c>
      <c r="E2572">
        <v>2</v>
      </c>
      <c r="G2572" t="e">
        <f t="shared" si="313"/>
        <v>#N/A</v>
      </c>
      <c r="H2572" t="e">
        <f t="shared" si="309"/>
        <v>#N/A</v>
      </c>
      <c r="I2572" t="e">
        <f t="shared" si="310"/>
        <v>#N/A</v>
      </c>
      <c r="J2572" t="e">
        <f t="shared" si="311"/>
        <v>#N/A</v>
      </c>
      <c r="K2572" t="e">
        <f t="shared" si="312"/>
        <v>#N/A</v>
      </c>
      <c r="T2572" t="str">
        <f t="shared" si="314"/>
        <v/>
      </c>
    </row>
    <row r="2573" spans="2:20" x14ac:dyDescent="0.55000000000000004">
      <c r="B2573" s="15" t="str">
        <f t="shared" si="315"/>
        <v>_5</v>
      </c>
      <c r="E2573">
        <v>2</v>
      </c>
      <c r="G2573" t="e">
        <f t="shared" si="313"/>
        <v>#N/A</v>
      </c>
      <c r="H2573" t="e">
        <f t="shared" si="309"/>
        <v>#N/A</v>
      </c>
      <c r="I2573" t="e">
        <f t="shared" si="310"/>
        <v>#N/A</v>
      </c>
      <c r="J2573" t="e">
        <f t="shared" si="311"/>
        <v>#N/A</v>
      </c>
      <c r="K2573" t="e">
        <f t="shared" si="312"/>
        <v>#N/A</v>
      </c>
      <c r="T2573" t="str">
        <f t="shared" si="314"/>
        <v/>
      </c>
    </row>
    <row r="2574" spans="2:20" x14ac:dyDescent="0.55000000000000004">
      <c r="B2574" s="15" t="str">
        <f t="shared" si="315"/>
        <v>_5</v>
      </c>
      <c r="E2574">
        <v>2</v>
      </c>
      <c r="G2574" t="e">
        <f t="shared" si="313"/>
        <v>#N/A</v>
      </c>
      <c r="H2574" t="e">
        <f t="shared" si="309"/>
        <v>#N/A</v>
      </c>
      <c r="I2574" t="e">
        <f t="shared" si="310"/>
        <v>#N/A</v>
      </c>
      <c r="J2574" t="e">
        <f t="shared" si="311"/>
        <v>#N/A</v>
      </c>
      <c r="K2574" t="e">
        <f t="shared" si="312"/>
        <v>#N/A</v>
      </c>
      <c r="T2574" t="str">
        <f t="shared" si="314"/>
        <v/>
      </c>
    </row>
    <row r="2575" spans="2:20" x14ac:dyDescent="0.55000000000000004">
      <c r="B2575" s="15" t="str">
        <f t="shared" si="315"/>
        <v>_5</v>
      </c>
      <c r="E2575">
        <v>2</v>
      </c>
      <c r="G2575" t="e">
        <f t="shared" si="313"/>
        <v>#N/A</v>
      </c>
      <c r="H2575" t="e">
        <f t="shared" si="309"/>
        <v>#N/A</v>
      </c>
      <c r="I2575" t="e">
        <f t="shared" si="310"/>
        <v>#N/A</v>
      </c>
      <c r="J2575" t="e">
        <f t="shared" si="311"/>
        <v>#N/A</v>
      </c>
      <c r="K2575" t="e">
        <f t="shared" si="312"/>
        <v>#N/A</v>
      </c>
      <c r="T2575" t="str">
        <f t="shared" si="314"/>
        <v/>
      </c>
    </row>
    <row r="2576" spans="2:20" x14ac:dyDescent="0.55000000000000004">
      <c r="B2576" s="15" t="str">
        <f t="shared" si="315"/>
        <v>_5</v>
      </c>
      <c r="E2576">
        <v>2</v>
      </c>
      <c r="G2576" t="e">
        <f t="shared" si="313"/>
        <v>#N/A</v>
      </c>
      <c r="H2576" t="e">
        <f t="shared" si="309"/>
        <v>#N/A</v>
      </c>
      <c r="I2576" t="e">
        <f t="shared" si="310"/>
        <v>#N/A</v>
      </c>
      <c r="J2576" t="e">
        <f t="shared" si="311"/>
        <v>#N/A</v>
      </c>
      <c r="K2576" t="e">
        <f t="shared" si="312"/>
        <v>#N/A</v>
      </c>
      <c r="T2576" t="str">
        <f t="shared" si="314"/>
        <v/>
      </c>
    </row>
    <row r="2577" spans="2:20" x14ac:dyDescent="0.55000000000000004">
      <c r="B2577" s="15" t="str">
        <f t="shared" si="315"/>
        <v>_5</v>
      </c>
      <c r="E2577">
        <v>2</v>
      </c>
      <c r="G2577" t="e">
        <f t="shared" si="313"/>
        <v>#N/A</v>
      </c>
      <c r="H2577" t="e">
        <f t="shared" ref="H2577:H2640" si="316">VLOOKUP($F2577, $W$1:$AB$10, 3, FALSE)</f>
        <v>#N/A</v>
      </c>
      <c r="I2577" t="e">
        <f t="shared" ref="I2577:I2640" si="317">VLOOKUP($F2577, $W$1:$AB$10, 4, FALSE)</f>
        <v>#N/A</v>
      </c>
      <c r="J2577" t="e">
        <f t="shared" ref="J2577:J2640" si="318">VLOOKUP($F2577, $W$1:$AC$10, 5, FALSE)</f>
        <v>#N/A</v>
      </c>
      <c r="K2577" t="e">
        <f t="shared" ref="K2577:K2640" si="319">VLOOKUP($F2577, $W$1:$AB$10, 6, FALSE)</f>
        <v>#N/A</v>
      </c>
      <c r="T2577" t="str">
        <f t="shared" si="314"/>
        <v/>
      </c>
    </row>
    <row r="2578" spans="2:20" x14ac:dyDescent="0.55000000000000004">
      <c r="B2578" s="15" t="str">
        <f t="shared" si="315"/>
        <v>_5</v>
      </c>
      <c r="E2578">
        <v>2</v>
      </c>
      <c r="G2578" t="e">
        <f t="shared" si="313"/>
        <v>#N/A</v>
      </c>
      <c r="H2578" t="e">
        <f t="shared" si="316"/>
        <v>#N/A</v>
      </c>
      <c r="I2578" t="e">
        <f t="shared" si="317"/>
        <v>#N/A</v>
      </c>
      <c r="J2578" t="e">
        <f t="shared" si="318"/>
        <v>#N/A</v>
      </c>
      <c r="K2578" t="e">
        <f t="shared" si="319"/>
        <v>#N/A</v>
      </c>
      <c r="T2578" t="str">
        <f t="shared" si="314"/>
        <v/>
      </c>
    </row>
    <row r="2579" spans="2:20" x14ac:dyDescent="0.55000000000000004">
      <c r="B2579" s="15" t="str">
        <f t="shared" si="315"/>
        <v>_5</v>
      </c>
      <c r="E2579">
        <v>2</v>
      </c>
      <c r="G2579" t="e">
        <f t="shared" si="313"/>
        <v>#N/A</v>
      </c>
      <c r="H2579" t="e">
        <f t="shared" si="316"/>
        <v>#N/A</v>
      </c>
      <c r="I2579" t="e">
        <f t="shared" si="317"/>
        <v>#N/A</v>
      </c>
      <c r="J2579" t="e">
        <f t="shared" si="318"/>
        <v>#N/A</v>
      </c>
      <c r="K2579" t="e">
        <f t="shared" si="319"/>
        <v>#N/A</v>
      </c>
      <c r="T2579" t="str">
        <f t="shared" si="314"/>
        <v/>
      </c>
    </row>
    <row r="2580" spans="2:20" x14ac:dyDescent="0.55000000000000004">
      <c r="B2580" s="15" t="str">
        <f t="shared" si="315"/>
        <v>_5</v>
      </c>
      <c r="E2580">
        <v>2</v>
      </c>
      <c r="G2580" t="e">
        <f t="shared" si="313"/>
        <v>#N/A</v>
      </c>
      <c r="H2580" t="e">
        <f t="shared" si="316"/>
        <v>#N/A</v>
      </c>
      <c r="I2580" t="e">
        <f t="shared" si="317"/>
        <v>#N/A</v>
      </c>
      <c r="J2580" t="e">
        <f t="shared" si="318"/>
        <v>#N/A</v>
      </c>
      <c r="K2580" t="e">
        <f t="shared" si="319"/>
        <v>#N/A</v>
      </c>
      <c r="T2580" t="str">
        <f t="shared" si="314"/>
        <v/>
      </c>
    </row>
    <row r="2581" spans="2:20" x14ac:dyDescent="0.55000000000000004">
      <c r="B2581" s="15" t="str">
        <f t="shared" si="315"/>
        <v>_5</v>
      </c>
      <c r="E2581">
        <v>2</v>
      </c>
      <c r="G2581" t="e">
        <f t="shared" si="313"/>
        <v>#N/A</v>
      </c>
      <c r="H2581" t="e">
        <f t="shared" si="316"/>
        <v>#N/A</v>
      </c>
      <c r="I2581" t="e">
        <f t="shared" si="317"/>
        <v>#N/A</v>
      </c>
      <c r="J2581" t="e">
        <f t="shared" si="318"/>
        <v>#N/A</v>
      </c>
      <c r="K2581" t="e">
        <f t="shared" si="319"/>
        <v>#N/A</v>
      </c>
      <c r="T2581" t="str">
        <f t="shared" si="314"/>
        <v/>
      </c>
    </row>
    <row r="2582" spans="2:20" x14ac:dyDescent="0.55000000000000004">
      <c r="B2582" s="15" t="str">
        <f t="shared" si="315"/>
        <v>_5</v>
      </c>
      <c r="E2582">
        <v>2</v>
      </c>
      <c r="G2582" t="e">
        <f t="shared" si="313"/>
        <v>#N/A</v>
      </c>
      <c r="H2582" t="e">
        <f t="shared" si="316"/>
        <v>#N/A</v>
      </c>
      <c r="I2582" t="e">
        <f t="shared" si="317"/>
        <v>#N/A</v>
      </c>
      <c r="J2582" t="e">
        <f t="shared" si="318"/>
        <v>#N/A</v>
      </c>
      <c r="K2582" t="e">
        <f t="shared" si="319"/>
        <v>#N/A</v>
      </c>
      <c r="T2582" t="str">
        <f t="shared" si="314"/>
        <v/>
      </c>
    </row>
    <row r="2583" spans="2:20" x14ac:dyDescent="0.55000000000000004">
      <c r="B2583" s="15" t="str">
        <f t="shared" si="315"/>
        <v>_5</v>
      </c>
      <c r="E2583">
        <v>2</v>
      </c>
      <c r="G2583" t="e">
        <f t="shared" si="313"/>
        <v>#N/A</v>
      </c>
      <c r="H2583" t="e">
        <f t="shared" si="316"/>
        <v>#N/A</v>
      </c>
      <c r="I2583" t="e">
        <f t="shared" si="317"/>
        <v>#N/A</v>
      </c>
      <c r="J2583" t="e">
        <f t="shared" si="318"/>
        <v>#N/A</v>
      </c>
      <c r="K2583" t="e">
        <f t="shared" si="319"/>
        <v>#N/A</v>
      </c>
      <c r="T2583" t="str">
        <f t="shared" si="314"/>
        <v/>
      </c>
    </row>
    <row r="2584" spans="2:20" x14ac:dyDescent="0.55000000000000004">
      <c r="B2584" s="15" t="str">
        <f t="shared" si="315"/>
        <v>_5</v>
      </c>
      <c r="E2584">
        <v>2</v>
      </c>
      <c r="G2584" t="e">
        <f t="shared" si="313"/>
        <v>#N/A</v>
      </c>
      <c r="H2584" t="e">
        <f t="shared" si="316"/>
        <v>#N/A</v>
      </c>
      <c r="I2584" t="e">
        <f t="shared" si="317"/>
        <v>#N/A</v>
      </c>
      <c r="J2584" t="e">
        <f t="shared" si="318"/>
        <v>#N/A</v>
      </c>
      <c r="K2584" t="e">
        <f t="shared" si="319"/>
        <v>#N/A</v>
      </c>
      <c r="T2584" t="str">
        <f t="shared" si="314"/>
        <v/>
      </c>
    </row>
    <row r="2585" spans="2:20" x14ac:dyDescent="0.55000000000000004">
      <c r="B2585" s="15" t="str">
        <f t="shared" si="315"/>
        <v>_5</v>
      </c>
      <c r="E2585">
        <v>2</v>
      </c>
      <c r="G2585" t="e">
        <f t="shared" si="313"/>
        <v>#N/A</v>
      </c>
      <c r="H2585" t="e">
        <f t="shared" si="316"/>
        <v>#N/A</v>
      </c>
      <c r="I2585" t="e">
        <f t="shared" si="317"/>
        <v>#N/A</v>
      </c>
      <c r="J2585" t="e">
        <f t="shared" si="318"/>
        <v>#N/A</v>
      </c>
      <c r="K2585" t="e">
        <f t="shared" si="319"/>
        <v>#N/A</v>
      </c>
      <c r="T2585" t="str">
        <f t="shared" si="314"/>
        <v/>
      </c>
    </row>
    <row r="2586" spans="2:20" x14ac:dyDescent="0.55000000000000004">
      <c r="B2586" s="15" t="str">
        <f t="shared" si="315"/>
        <v>_5</v>
      </c>
      <c r="E2586">
        <v>2</v>
      </c>
      <c r="G2586" t="e">
        <f t="shared" si="313"/>
        <v>#N/A</v>
      </c>
      <c r="H2586" t="e">
        <f t="shared" si="316"/>
        <v>#N/A</v>
      </c>
      <c r="I2586" t="e">
        <f t="shared" si="317"/>
        <v>#N/A</v>
      </c>
      <c r="J2586" t="e">
        <f t="shared" si="318"/>
        <v>#N/A</v>
      </c>
      <c r="K2586" t="e">
        <f t="shared" si="319"/>
        <v>#N/A</v>
      </c>
      <c r="T2586" t="str">
        <f t="shared" si="314"/>
        <v/>
      </c>
    </row>
    <row r="2587" spans="2:20" x14ac:dyDescent="0.55000000000000004">
      <c r="B2587" s="15" t="str">
        <f t="shared" si="315"/>
        <v>_5</v>
      </c>
      <c r="E2587">
        <v>2</v>
      </c>
      <c r="G2587" t="e">
        <f t="shared" si="313"/>
        <v>#N/A</v>
      </c>
      <c r="H2587" t="e">
        <f t="shared" si="316"/>
        <v>#N/A</v>
      </c>
      <c r="I2587" t="e">
        <f t="shared" si="317"/>
        <v>#N/A</v>
      </c>
      <c r="J2587" t="e">
        <f t="shared" si="318"/>
        <v>#N/A</v>
      </c>
      <c r="K2587" t="e">
        <f t="shared" si="319"/>
        <v>#N/A</v>
      </c>
      <c r="T2587" t="str">
        <f t="shared" si="314"/>
        <v/>
      </c>
    </row>
    <row r="2588" spans="2:20" x14ac:dyDescent="0.55000000000000004">
      <c r="B2588" s="15" t="str">
        <f t="shared" si="315"/>
        <v>_5</v>
      </c>
      <c r="E2588">
        <v>2</v>
      </c>
      <c r="G2588" t="e">
        <f t="shared" si="313"/>
        <v>#N/A</v>
      </c>
      <c r="H2588" t="e">
        <f t="shared" si="316"/>
        <v>#N/A</v>
      </c>
      <c r="I2588" t="e">
        <f t="shared" si="317"/>
        <v>#N/A</v>
      </c>
      <c r="J2588" t="e">
        <f t="shared" si="318"/>
        <v>#N/A</v>
      </c>
      <c r="K2588" t="e">
        <f t="shared" si="319"/>
        <v>#N/A</v>
      </c>
      <c r="T2588" t="str">
        <f t="shared" si="314"/>
        <v/>
      </c>
    </row>
    <row r="2589" spans="2:20" x14ac:dyDescent="0.55000000000000004">
      <c r="B2589" s="15" t="str">
        <f t="shared" si="315"/>
        <v>_5</v>
      </c>
      <c r="E2589">
        <v>2</v>
      </c>
      <c r="G2589" t="e">
        <f t="shared" si="313"/>
        <v>#N/A</v>
      </c>
      <c r="H2589" t="e">
        <f t="shared" si="316"/>
        <v>#N/A</v>
      </c>
      <c r="I2589" t="e">
        <f t="shared" si="317"/>
        <v>#N/A</v>
      </c>
      <c r="J2589" t="e">
        <f t="shared" si="318"/>
        <v>#N/A</v>
      </c>
      <c r="K2589" t="e">
        <f t="shared" si="319"/>
        <v>#N/A</v>
      </c>
      <c r="T2589" t="str">
        <f t="shared" si="314"/>
        <v/>
      </c>
    </row>
    <row r="2590" spans="2:20" x14ac:dyDescent="0.55000000000000004">
      <c r="B2590" s="15" t="str">
        <f t="shared" si="315"/>
        <v>_5</v>
      </c>
      <c r="E2590">
        <v>2</v>
      </c>
      <c r="G2590" t="e">
        <f t="shared" si="313"/>
        <v>#N/A</v>
      </c>
      <c r="H2590" t="e">
        <f t="shared" si="316"/>
        <v>#N/A</v>
      </c>
      <c r="I2590" t="e">
        <f t="shared" si="317"/>
        <v>#N/A</v>
      </c>
      <c r="J2590" t="e">
        <f t="shared" si="318"/>
        <v>#N/A</v>
      </c>
      <c r="K2590" t="e">
        <f t="shared" si="319"/>
        <v>#N/A</v>
      </c>
      <c r="T2590" t="str">
        <f t="shared" si="314"/>
        <v/>
      </c>
    </row>
    <row r="2591" spans="2:20" x14ac:dyDescent="0.55000000000000004">
      <c r="B2591" s="15" t="str">
        <f t="shared" si="315"/>
        <v>_5</v>
      </c>
      <c r="E2591">
        <v>2</v>
      </c>
      <c r="G2591" t="e">
        <f t="shared" si="313"/>
        <v>#N/A</v>
      </c>
      <c r="H2591" t="e">
        <f t="shared" si="316"/>
        <v>#N/A</v>
      </c>
      <c r="I2591" t="e">
        <f t="shared" si="317"/>
        <v>#N/A</v>
      </c>
      <c r="J2591" t="e">
        <f t="shared" si="318"/>
        <v>#N/A</v>
      </c>
      <c r="K2591" t="e">
        <f t="shared" si="319"/>
        <v>#N/A</v>
      </c>
      <c r="T2591" t="str">
        <f t="shared" si="314"/>
        <v/>
      </c>
    </row>
    <row r="2592" spans="2:20" x14ac:dyDescent="0.55000000000000004">
      <c r="B2592" s="15" t="str">
        <f t="shared" si="315"/>
        <v>_5</v>
      </c>
      <c r="E2592">
        <v>2</v>
      </c>
      <c r="G2592" t="e">
        <f t="shared" si="313"/>
        <v>#N/A</v>
      </c>
      <c r="H2592" t="e">
        <f t="shared" si="316"/>
        <v>#N/A</v>
      </c>
      <c r="I2592" t="e">
        <f t="shared" si="317"/>
        <v>#N/A</v>
      </c>
      <c r="J2592" t="e">
        <f t="shared" si="318"/>
        <v>#N/A</v>
      </c>
      <c r="K2592" t="e">
        <f t="shared" si="319"/>
        <v>#N/A</v>
      </c>
      <c r="T2592" t="str">
        <f t="shared" si="314"/>
        <v/>
      </c>
    </row>
    <row r="2593" spans="2:20" x14ac:dyDescent="0.55000000000000004">
      <c r="B2593" s="15" t="str">
        <f t="shared" si="315"/>
        <v>_5</v>
      </c>
      <c r="E2593">
        <v>2</v>
      </c>
      <c r="G2593" t="e">
        <f t="shared" si="313"/>
        <v>#N/A</v>
      </c>
      <c r="H2593" t="e">
        <f t="shared" si="316"/>
        <v>#N/A</v>
      </c>
      <c r="I2593" t="e">
        <f t="shared" si="317"/>
        <v>#N/A</v>
      </c>
      <c r="J2593" t="e">
        <f t="shared" si="318"/>
        <v>#N/A</v>
      </c>
      <c r="K2593" t="e">
        <f t="shared" si="319"/>
        <v>#N/A</v>
      </c>
      <c r="T2593" t="str">
        <f t="shared" si="314"/>
        <v/>
      </c>
    </row>
    <row r="2594" spans="2:20" x14ac:dyDescent="0.55000000000000004">
      <c r="B2594" s="15" t="str">
        <f t="shared" si="315"/>
        <v>_5</v>
      </c>
      <c r="E2594">
        <v>2</v>
      </c>
      <c r="G2594" t="e">
        <f t="shared" si="313"/>
        <v>#N/A</v>
      </c>
      <c r="H2594" t="e">
        <f t="shared" si="316"/>
        <v>#N/A</v>
      </c>
      <c r="I2594" t="e">
        <f t="shared" si="317"/>
        <v>#N/A</v>
      </c>
      <c r="J2594" t="e">
        <f t="shared" si="318"/>
        <v>#N/A</v>
      </c>
      <c r="K2594" t="e">
        <f t="shared" si="319"/>
        <v>#N/A</v>
      </c>
      <c r="T2594" t="str">
        <f t="shared" si="314"/>
        <v/>
      </c>
    </row>
    <row r="2595" spans="2:20" x14ac:dyDescent="0.55000000000000004">
      <c r="B2595" s="15" t="str">
        <f t="shared" si="315"/>
        <v>_5</v>
      </c>
      <c r="E2595">
        <v>2</v>
      </c>
      <c r="G2595" t="e">
        <f t="shared" si="313"/>
        <v>#N/A</v>
      </c>
      <c r="H2595" t="e">
        <f t="shared" si="316"/>
        <v>#N/A</v>
      </c>
      <c r="I2595" t="e">
        <f t="shared" si="317"/>
        <v>#N/A</v>
      </c>
      <c r="J2595" t="e">
        <f t="shared" si="318"/>
        <v>#N/A</v>
      </c>
      <c r="K2595" t="e">
        <f t="shared" si="319"/>
        <v>#N/A</v>
      </c>
      <c r="T2595" t="str">
        <f t="shared" si="314"/>
        <v/>
      </c>
    </row>
    <row r="2596" spans="2:20" x14ac:dyDescent="0.55000000000000004">
      <c r="B2596" s="15" t="str">
        <f t="shared" si="315"/>
        <v>_5</v>
      </c>
      <c r="E2596">
        <v>2</v>
      </c>
      <c r="G2596" t="e">
        <f t="shared" si="313"/>
        <v>#N/A</v>
      </c>
      <c r="H2596" t="e">
        <f t="shared" si="316"/>
        <v>#N/A</v>
      </c>
      <c r="I2596" t="e">
        <f t="shared" si="317"/>
        <v>#N/A</v>
      </c>
      <c r="J2596" t="e">
        <f t="shared" si="318"/>
        <v>#N/A</v>
      </c>
      <c r="K2596" t="e">
        <f t="shared" si="319"/>
        <v>#N/A</v>
      </c>
      <c r="T2596" t="str">
        <f t="shared" si="314"/>
        <v/>
      </c>
    </row>
    <row r="2597" spans="2:20" x14ac:dyDescent="0.55000000000000004">
      <c r="B2597" s="15" t="str">
        <f t="shared" si="315"/>
        <v>_5</v>
      </c>
      <c r="E2597">
        <v>2</v>
      </c>
      <c r="G2597" t="e">
        <f t="shared" si="313"/>
        <v>#N/A</v>
      </c>
      <c r="H2597" t="e">
        <f t="shared" si="316"/>
        <v>#N/A</v>
      </c>
      <c r="I2597" t="e">
        <f t="shared" si="317"/>
        <v>#N/A</v>
      </c>
      <c r="J2597" t="e">
        <f t="shared" si="318"/>
        <v>#N/A</v>
      </c>
      <c r="K2597" t="e">
        <f t="shared" si="319"/>
        <v>#N/A</v>
      </c>
      <c r="T2597" t="str">
        <f t="shared" si="314"/>
        <v/>
      </c>
    </row>
    <row r="2598" spans="2:20" x14ac:dyDescent="0.55000000000000004">
      <c r="B2598" s="15" t="str">
        <f t="shared" si="315"/>
        <v>_5</v>
      </c>
      <c r="E2598">
        <v>2</v>
      </c>
      <c r="G2598" t="e">
        <f t="shared" si="313"/>
        <v>#N/A</v>
      </c>
      <c r="H2598" t="e">
        <f t="shared" si="316"/>
        <v>#N/A</v>
      </c>
      <c r="I2598" t="e">
        <f t="shared" si="317"/>
        <v>#N/A</v>
      </c>
      <c r="J2598" t="e">
        <f t="shared" si="318"/>
        <v>#N/A</v>
      </c>
      <c r="K2598" t="e">
        <f t="shared" si="319"/>
        <v>#N/A</v>
      </c>
      <c r="T2598" t="str">
        <f t="shared" si="314"/>
        <v/>
      </c>
    </row>
    <row r="2599" spans="2:20" x14ac:dyDescent="0.55000000000000004">
      <c r="B2599" s="15" t="str">
        <f t="shared" si="315"/>
        <v>_5</v>
      </c>
      <c r="E2599">
        <v>2</v>
      </c>
      <c r="G2599" t="e">
        <f t="shared" si="313"/>
        <v>#N/A</v>
      </c>
      <c r="H2599" t="e">
        <f t="shared" si="316"/>
        <v>#N/A</v>
      </c>
      <c r="I2599" t="e">
        <f t="shared" si="317"/>
        <v>#N/A</v>
      </c>
      <c r="J2599" t="e">
        <f t="shared" si="318"/>
        <v>#N/A</v>
      </c>
      <c r="K2599" t="e">
        <f t="shared" si="319"/>
        <v>#N/A</v>
      </c>
      <c r="T2599" t="str">
        <f t="shared" si="314"/>
        <v/>
      </c>
    </row>
    <row r="2600" spans="2:20" x14ac:dyDescent="0.55000000000000004">
      <c r="B2600" s="15" t="str">
        <f t="shared" si="315"/>
        <v>_5</v>
      </c>
      <c r="E2600">
        <v>2</v>
      </c>
      <c r="G2600" t="e">
        <f t="shared" si="313"/>
        <v>#N/A</v>
      </c>
      <c r="H2600" t="e">
        <f t="shared" si="316"/>
        <v>#N/A</v>
      </c>
      <c r="I2600" t="e">
        <f t="shared" si="317"/>
        <v>#N/A</v>
      </c>
      <c r="J2600" t="e">
        <f t="shared" si="318"/>
        <v>#N/A</v>
      </c>
      <c r="K2600" t="e">
        <f t="shared" si="319"/>
        <v>#N/A</v>
      </c>
      <c r="T2600" t="str">
        <f t="shared" si="314"/>
        <v/>
      </c>
    </row>
    <row r="2601" spans="2:20" x14ac:dyDescent="0.55000000000000004">
      <c r="B2601" s="15" t="str">
        <f t="shared" si="315"/>
        <v>_5</v>
      </c>
      <c r="E2601">
        <v>2</v>
      </c>
      <c r="G2601" t="e">
        <f t="shared" si="313"/>
        <v>#N/A</v>
      </c>
      <c r="H2601" t="e">
        <f t="shared" si="316"/>
        <v>#N/A</v>
      </c>
      <c r="I2601" t="e">
        <f t="shared" si="317"/>
        <v>#N/A</v>
      </c>
      <c r="J2601" t="e">
        <f t="shared" si="318"/>
        <v>#N/A</v>
      </c>
      <c r="K2601" t="e">
        <f t="shared" si="319"/>
        <v>#N/A</v>
      </c>
      <c r="T2601" t="str">
        <f t="shared" si="314"/>
        <v/>
      </c>
    </row>
    <row r="2602" spans="2:20" x14ac:dyDescent="0.55000000000000004">
      <c r="B2602" s="15" t="str">
        <f t="shared" si="315"/>
        <v>_5</v>
      </c>
      <c r="E2602">
        <v>2</v>
      </c>
      <c r="G2602" t="e">
        <f t="shared" si="313"/>
        <v>#N/A</v>
      </c>
      <c r="H2602" t="e">
        <f t="shared" si="316"/>
        <v>#N/A</v>
      </c>
      <c r="I2602" t="e">
        <f t="shared" si="317"/>
        <v>#N/A</v>
      </c>
      <c r="J2602" t="e">
        <f t="shared" si="318"/>
        <v>#N/A</v>
      </c>
      <c r="K2602" t="e">
        <f t="shared" si="319"/>
        <v>#N/A</v>
      </c>
      <c r="T2602" t="str">
        <f t="shared" si="314"/>
        <v/>
      </c>
    </row>
    <row r="2603" spans="2:20" x14ac:dyDescent="0.55000000000000004">
      <c r="B2603" s="15" t="str">
        <f t="shared" si="315"/>
        <v>_5</v>
      </c>
      <c r="E2603">
        <v>2</v>
      </c>
      <c r="G2603" t="e">
        <f t="shared" si="313"/>
        <v>#N/A</v>
      </c>
      <c r="H2603" t="e">
        <f t="shared" si="316"/>
        <v>#N/A</v>
      </c>
      <c r="I2603" t="e">
        <f t="shared" si="317"/>
        <v>#N/A</v>
      </c>
      <c r="J2603" t="e">
        <f t="shared" si="318"/>
        <v>#N/A</v>
      </c>
      <c r="K2603" t="e">
        <f t="shared" si="319"/>
        <v>#N/A</v>
      </c>
      <c r="T2603" t="str">
        <f t="shared" si="314"/>
        <v/>
      </c>
    </row>
    <row r="2604" spans="2:20" x14ac:dyDescent="0.55000000000000004">
      <c r="B2604" s="15" t="str">
        <f t="shared" si="315"/>
        <v>_5</v>
      </c>
      <c r="E2604">
        <v>2</v>
      </c>
      <c r="G2604" t="e">
        <f t="shared" si="313"/>
        <v>#N/A</v>
      </c>
      <c r="H2604" t="e">
        <f t="shared" si="316"/>
        <v>#N/A</v>
      </c>
      <c r="I2604" t="e">
        <f t="shared" si="317"/>
        <v>#N/A</v>
      </c>
      <c r="J2604" t="e">
        <f t="shared" si="318"/>
        <v>#N/A</v>
      </c>
      <c r="K2604" t="e">
        <f t="shared" si="319"/>
        <v>#N/A</v>
      </c>
      <c r="T2604" t="str">
        <f t="shared" si="314"/>
        <v/>
      </c>
    </row>
    <row r="2605" spans="2:20" x14ac:dyDescent="0.55000000000000004">
      <c r="B2605" s="15" t="str">
        <f t="shared" si="315"/>
        <v>_5</v>
      </c>
      <c r="E2605">
        <v>2</v>
      </c>
      <c r="G2605" t="e">
        <f t="shared" si="313"/>
        <v>#N/A</v>
      </c>
      <c r="H2605" t="e">
        <f t="shared" si="316"/>
        <v>#N/A</v>
      </c>
      <c r="I2605" t="e">
        <f t="shared" si="317"/>
        <v>#N/A</v>
      </c>
      <c r="J2605" t="e">
        <f t="shared" si="318"/>
        <v>#N/A</v>
      </c>
      <c r="K2605" t="e">
        <f t="shared" si="319"/>
        <v>#N/A</v>
      </c>
      <c r="T2605" t="str">
        <f t="shared" si="314"/>
        <v/>
      </c>
    </row>
    <row r="2606" spans="2:20" x14ac:dyDescent="0.55000000000000004">
      <c r="B2606" s="15" t="str">
        <f t="shared" si="315"/>
        <v>_5</v>
      </c>
      <c r="E2606">
        <v>2</v>
      </c>
      <c r="G2606" t="e">
        <f t="shared" si="313"/>
        <v>#N/A</v>
      </c>
      <c r="H2606" t="e">
        <f t="shared" si="316"/>
        <v>#N/A</v>
      </c>
      <c r="I2606" t="e">
        <f t="shared" si="317"/>
        <v>#N/A</v>
      </c>
      <c r="J2606" t="e">
        <f t="shared" si="318"/>
        <v>#N/A</v>
      </c>
      <c r="K2606" t="e">
        <f t="shared" si="319"/>
        <v>#N/A</v>
      </c>
      <c r="T2606" t="str">
        <f t="shared" si="314"/>
        <v/>
      </c>
    </row>
    <row r="2607" spans="2:20" x14ac:dyDescent="0.55000000000000004">
      <c r="B2607" s="15" t="str">
        <f t="shared" si="315"/>
        <v>_5</v>
      </c>
      <c r="E2607">
        <v>2</v>
      </c>
      <c r="G2607" t="e">
        <f t="shared" si="313"/>
        <v>#N/A</v>
      </c>
      <c r="H2607" t="e">
        <f t="shared" si="316"/>
        <v>#N/A</v>
      </c>
      <c r="I2607" t="e">
        <f t="shared" si="317"/>
        <v>#N/A</v>
      </c>
      <c r="J2607" t="e">
        <f t="shared" si="318"/>
        <v>#N/A</v>
      </c>
      <c r="K2607" t="e">
        <f t="shared" si="319"/>
        <v>#N/A</v>
      </c>
      <c r="T2607" t="str">
        <f t="shared" si="314"/>
        <v/>
      </c>
    </row>
    <row r="2608" spans="2:20" x14ac:dyDescent="0.55000000000000004">
      <c r="B2608" s="15" t="str">
        <f t="shared" si="315"/>
        <v>_5</v>
      </c>
      <c r="E2608">
        <v>2</v>
      </c>
      <c r="G2608" t="e">
        <f t="shared" si="313"/>
        <v>#N/A</v>
      </c>
      <c r="H2608" t="e">
        <f t="shared" si="316"/>
        <v>#N/A</v>
      </c>
      <c r="I2608" t="e">
        <f t="shared" si="317"/>
        <v>#N/A</v>
      </c>
      <c r="J2608" t="e">
        <f t="shared" si="318"/>
        <v>#N/A</v>
      </c>
      <c r="K2608" t="e">
        <f t="shared" si="319"/>
        <v>#N/A</v>
      </c>
      <c r="T2608" t="str">
        <f t="shared" si="314"/>
        <v/>
      </c>
    </row>
    <row r="2609" spans="2:20" x14ac:dyDescent="0.55000000000000004">
      <c r="B2609" s="15" t="str">
        <f t="shared" si="315"/>
        <v>_5</v>
      </c>
      <c r="E2609">
        <v>2</v>
      </c>
      <c r="G2609" t="e">
        <f t="shared" si="313"/>
        <v>#N/A</v>
      </c>
      <c r="H2609" t="e">
        <f t="shared" si="316"/>
        <v>#N/A</v>
      </c>
      <c r="I2609" t="e">
        <f t="shared" si="317"/>
        <v>#N/A</v>
      </c>
      <c r="J2609" t="e">
        <f t="shared" si="318"/>
        <v>#N/A</v>
      </c>
      <c r="K2609" t="e">
        <f t="shared" si="319"/>
        <v>#N/A</v>
      </c>
      <c r="T2609" t="str">
        <f t="shared" si="314"/>
        <v/>
      </c>
    </row>
    <row r="2610" spans="2:20" x14ac:dyDescent="0.55000000000000004">
      <c r="B2610" s="15" t="str">
        <f t="shared" si="315"/>
        <v>_5</v>
      </c>
      <c r="E2610">
        <v>2</v>
      </c>
      <c r="G2610" t="e">
        <f t="shared" si="313"/>
        <v>#N/A</v>
      </c>
      <c r="H2610" t="e">
        <f t="shared" si="316"/>
        <v>#N/A</v>
      </c>
      <c r="I2610" t="e">
        <f t="shared" si="317"/>
        <v>#N/A</v>
      </c>
      <c r="J2610" t="e">
        <f t="shared" si="318"/>
        <v>#N/A</v>
      </c>
      <c r="K2610" t="e">
        <f t="shared" si="319"/>
        <v>#N/A</v>
      </c>
      <c r="T2610" t="str">
        <f t="shared" si="314"/>
        <v/>
      </c>
    </row>
    <row r="2611" spans="2:20" x14ac:dyDescent="0.55000000000000004">
      <c r="B2611" s="15" t="str">
        <f t="shared" si="315"/>
        <v>_5</v>
      </c>
      <c r="E2611">
        <v>2</v>
      </c>
      <c r="G2611" t="e">
        <f t="shared" si="313"/>
        <v>#N/A</v>
      </c>
      <c r="H2611" t="e">
        <f t="shared" si="316"/>
        <v>#N/A</v>
      </c>
      <c r="I2611" t="e">
        <f t="shared" si="317"/>
        <v>#N/A</v>
      </c>
      <c r="J2611" t="e">
        <f t="shared" si="318"/>
        <v>#N/A</v>
      </c>
      <c r="K2611" t="e">
        <f t="shared" si="319"/>
        <v>#N/A</v>
      </c>
      <c r="T2611" t="str">
        <f t="shared" si="314"/>
        <v/>
      </c>
    </row>
    <row r="2612" spans="2:20" x14ac:dyDescent="0.55000000000000004">
      <c r="B2612" s="15" t="str">
        <f t="shared" si="315"/>
        <v>_5</v>
      </c>
      <c r="E2612">
        <v>2</v>
      </c>
      <c r="G2612" t="e">
        <f t="shared" si="313"/>
        <v>#N/A</v>
      </c>
      <c r="H2612" t="e">
        <f t="shared" si="316"/>
        <v>#N/A</v>
      </c>
      <c r="I2612" t="e">
        <f t="shared" si="317"/>
        <v>#N/A</v>
      </c>
      <c r="J2612" t="e">
        <f t="shared" si="318"/>
        <v>#N/A</v>
      </c>
      <c r="K2612" t="e">
        <f t="shared" si="319"/>
        <v>#N/A</v>
      </c>
      <c r="T2612" t="str">
        <f t="shared" si="314"/>
        <v/>
      </c>
    </row>
    <row r="2613" spans="2:20" x14ac:dyDescent="0.55000000000000004">
      <c r="B2613" s="15" t="str">
        <f t="shared" si="315"/>
        <v>_5</v>
      </c>
      <c r="E2613">
        <v>2</v>
      </c>
      <c r="G2613" t="e">
        <f t="shared" si="313"/>
        <v>#N/A</v>
      </c>
      <c r="H2613" t="e">
        <f t="shared" si="316"/>
        <v>#N/A</v>
      </c>
      <c r="I2613" t="e">
        <f t="shared" si="317"/>
        <v>#N/A</v>
      </c>
      <c r="J2613" t="e">
        <f t="shared" si="318"/>
        <v>#N/A</v>
      </c>
      <c r="K2613" t="e">
        <f t="shared" si="319"/>
        <v>#N/A</v>
      </c>
      <c r="T2613" t="str">
        <f t="shared" si="314"/>
        <v/>
      </c>
    </row>
    <row r="2614" spans="2:20" x14ac:dyDescent="0.55000000000000004">
      <c r="B2614" s="15" t="str">
        <f t="shared" si="315"/>
        <v>_5</v>
      </c>
      <c r="E2614">
        <v>2</v>
      </c>
      <c r="G2614" t="e">
        <f t="shared" ref="G2614:G2677" si="320">VLOOKUP($F2614, $W$1:$AB$10, 2, FALSE)</f>
        <v>#N/A</v>
      </c>
      <c r="H2614" t="e">
        <f t="shared" si="316"/>
        <v>#N/A</v>
      </c>
      <c r="I2614" t="e">
        <f t="shared" si="317"/>
        <v>#N/A</v>
      </c>
      <c r="J2614" t="e">
        <f t="shared" si="318"/>
        <v>#N/A</v>
      </c>
      <c r="K2614" t="e">
        <f t="shared" si="319"/>
        <v>#N/A</v>
      </c>
      <c r="T2614" t="str">
        <f t="shared" si="314"/>
        <v/>
      </c>
    </row>
    <row r="2615" spans="2:20" x14ac:dyDescent="0.55000000000000004">
      <c r="B2615" s="15" t="str">
        <f t="shared" si="315"/>
        <v>_5</v>
      </c>
      <c r="E2615">
        <v>2</v>
      </c>
      <c r="G2615" t="e">
        <f t="shared" si="320"/>
        <v>#N/A</v>
      </c>
      <c r="H2615" t="e">
        <f t="shared" si="316"/>
        <v>#N/A</v>
      </c>
      <c r="I2615" t="e">
        <f t="shared" si="317"/>
        <v>#N/A</v>
      </c>
      <c r="J2615" t="e">
        <f t="shared" si="318"/>
        <v>#N/A</v>
      </c>
      <c r="K2615" t="e">
        <f t="shared" si="319"/>
        <v>#N/A</v>
      </c>
      <c r="T2615" t="str">
        <f t="shared" si="314"/>
        <v/>
      </c>
    </row>
    <row r="2616" spans="2:20" x14ac:dyDescent="0.55000000000000004">
      <c r="B2616" s="15" t="str">
        <f t="shared" si="315"/>
        <v>_5</v>
      </c>
      <c r="E2616">
        <v>2</v>
      </c>
      <c r="G2616" t="e">
        <f t="shared" si="320"/>
        <v>#N/A</v>
      </c>
      <c r="H2616" t="e">
        <f t="shared" si="316"/>
        <v>#N/A</v>
      </c>
      <c r="I2616" t="e">
        <f t="shared" si="317"/>
        <v>#N/A</v>
      </c>
      <c r="J2616" t="e">
        <f t="shared" si="318"/>
        <v>#N/A</v>
      </c>
      <c r="K2616" t="e">
        <f t="shared" si="319"/>
        <v>#N/A</v>
      </c>
      <c r="T2616" t="str">
        <f t="shared" si="314"/>
        <v/>
      </c>
    </row>
    <row r="2617" spans="2:20" x14ac:dyDescent="0.55000000000000004">
      <c r="B2617" s="15" t="str">
        <f t="shared" si="315"/>
        <v>_5</v>
      </c>
      <c r="E2617">
        <v>2</v>
      </c>
      <c r="G2617" t="e">
        <f t="shared" si="320"/>
        <v>#N/A</v>
      </c>
      <c r="H2617" t="e">
        <f t="shared" si="316"/>
        <v>#N/A</v>
      </c>
      <c r="I2617" t="e">
        <f t="shared" si="317"/>
        <v>#N/A</v>
      </c>
      <c r="J2617" t="e">
        <f t="shared" si="318"/>
        <v>#N/A</v>
      </c>
      <c r="K2617" t="e">
        <f t="shared" si="319"/>
        <v>#N/A</v>
      </c>
      <c r="T2617" t="str">
        <f t="shared" si="314"/>
        <v/>
      </c>
    </row>
    <row r="2618" spans="2:20" x14ac:dyDescent="0.55000000000000004">
      <c r="B2618" s="15" t="str">
        <f t="shared" si="315"/>
        <v>_5</v>
      </c>
      <c r="E2618">
        <v>2</v>
      </c>
      <c r="G2618" t="e">
        <f t="shared" si="320"/>
        <v>#N/A</v>
      </c>
      <c r="H2618" t="e">
        <f t="shared" si="316"/>
        <v>#N/A</v>
      </c>
      <c r="I2618" t="e">
        <f t="shared" si="317"/>
        <v>#N/A</v>
      </c>
      <c r="J2618" t="e">
        <f t="shared" si="318"/>
        <v>#N/A</v>
      </c>
      <c r="K2618" t="e">
        <f t="shared" si="319"/>
        <v>#N/A</v>
      </c>
      <c r="T2618" t="str">
        <f t="shared" si="314"/>
        <v/>
      </c>
    </row>
    <row r="2619" spans="2:20" x14ac:dyDescent="0.55000000000000004">
      <c r="B2619" s="15" t="str">
        <f t="shared" si="315"/>
        <v>_5</v>
      </c>
      <c r="E2619">
        <v>2</v>
      </c>
      <c r="G2619" t="e">
        <f t="shared" si="320"/>
        <v>#N/A</v>
      </c>
      <c r="H2619" t="e">
        <f t="shared" si="316"/>
        <v>#N/A</v>
      </c>
      <c r="I2619" t="e">
        <f t="shared" si="317"/>
        <v>#N/A</v>
      </c>
      <c r="J2619" t="e">
        <f t="shared" si="318"/>
        <v>#N/A</v>
      </c>
      <c r="K2619" t="e">
        <f t="shared" si="319"/>
        <v>#N/A</v>
      </c>
      <c r="T2619" t="str">
        <f t="shared" si="314"/>
        <v/>
      </c>
    </row>
    <row r="2620" spans="2:20" x14ac:dyDescent="0.55000000000000004">
      <c r="B2620" s="15" t="str">
        <f t="shared" si="315"/>
        <v>_5</v>
      </c>
      <c r="E2620">
        <v>2</v>
      </c>
      <c r="G2620" t="e">
        <f t="shared" si="320"/>
        <v>#N/A</v>
      </c>
      <c r="H2620" t="e">
        <f t="shared" si="316"/>
        <v>#N/A</v>
      </c>
      <c r="I2620" t="e">
        <f t="shared" si="317"/>
        <v>#N/A</v>
      </c>
      <c r="J2620" t="e">
        <f t="shared" si="318"/>
        <v>#N/A</v>
      </c>
      <c r="K2620" t="e">
        <f t="shared" si="319"/>
        <v>#N/A</v>
      </c>
      <c r="T2620" t="str">
        <f t="shared" si="314"/>
        <v/>
      </c>
    </row>
    <row r="2621" spans="2:20" x14ac:dyDescent="0.55000000000000004">
      <c r="B2621" s="15" t="str">
        <f t="shared" si="315"/>
        <v>_5</v>
      </c>
      <c r="E2621">
        <v>2</v>
      </c>
      <c r="G2621" t="e">
        <f t="shared" si="320"/>
        <v>#N/A</v>
      </c>
      <c r="H2621" t="e">
        <f t="shared" si="316"/>
        <v>#N/A</v>
      </c>
      <c r="I2621" t="e">
        <f t="shared" si="317"/>
        <v>#N/A</v>
      </c>
      <c r="J2621" t="e">
        <f t="shared" si="318"/>
        <v>#N/A</v>
      </c>
      <c r="K2621" t="e">
        <f t="shared" si="319"/>
        <v>#N/A</v>
      </c>
      <c r="T2621" t="str">
        <f t="shared" si="314"/>
        <v/>
      </c>
    </row>
    <row r="2622" spans="2:20" x14ac:dyDescent="0.55000000000000004">
      <c r="B2622" s="15" t="str">
        <f t="shared" si="315"/>
        <v>_5</v>
      </c>
      <c r="E2622">
        <v>2</v>
      </c>
      <c r="G2622" t="e">
        <f t="shared" si="320"/>
        <v>#N/A</v>
      </c>
      <c r="H2622" t="e">
        <f t="shared" si="316"/>
        <v>#N/A</v>
      </c>
      <c r="I2622" t="e">
        <f t="shared" si="317"/>
        <v>#N/A</v>
      </c>
      <c r="J2622" t="e">
        <f t="shared" si="318"/>
        <v>#N/A</v>
      </c>
      <c r="K2622" t="e">
        <f t="shared" si="319"/>
        <v>#N/A</v>
      </c>
      <c r="T2622" t="str">
        <f t="shared" si="314"/>
        <v/>
      </c>
    </row>
    <row r="2623" spans="2:20" x14ac:dyDescent="0.55000000000000004">
      <c r="B2623" s="15" t="str">
        <f t="shared" si="315"/>
        <v>_5</v>
      </c>
      <c r="E2623">
        <v>2</v>
      </c>
      <c r="G2623" t="e">
        <f t="shared" si="320"/>
        <v>#N/A</v>
      </c>
      <c r="H2623" t="e">
        <f t="shared" si="316"/>
        <v>#N/A</v>
      </c>
      <c r="I2623" t="e">
        <f t="shared" si="317"/>
        <v>#N/A</v>
      </c>
      <c r="J2623" t="e">
        <f t="shared" si="318"/>
        <v>#N/A</v>
      </c>
      <c r="K2623" t="e">
        <f t="shared" si="319"/>
        <v>#N/A</v>
      </c>
      <c r="T2623" t="str">
        <f t="shared" si="314"/>
        <v/>
      </c>
    </row>
    <row r="2624" spans="2:20" x14ac:dyDescent="0.55000000000000004">
      <c r="B2624" s="15" t="str">
        <f t="shared" si="315"/>
        <v>_5</v>
      </c>
      <c r="E2624">
        <v>2</v>
      </c>
      <c r="G2624" t="e">
        <f t="shared" si="320"/>
        <v>#N/A</v>
      </c>
      <c r="H2624" t="e">
        <f t="shared" si="316"/>
        <v>#N/A</v>
      </c>
      <c r="I2624" t="e">
        <f t="shared" si="317"/>
        <v>#N/A</v>
      </c>
      <c r="J2624" t="e">
        <f t="shared" si="318"/>
        <v>#N/A</v>
      </c>
      <c r="K2624" t="e">
        <f t="shared" si="319"/>
        <v>#N/A</v>
      </c>
      <c r="T2624" t="str">
        <f t="shared" si="314"/>
        <v/>
      </c>
    </row>
    <row r="2625" spans="2:20" x14ac:dyDescent="0.55000000000000004">
      <c r="B2625" s="15" t="str">
        <f t="shared" si="315"/>
        <v>_5</v>
      </c>
      <c r="E2625">
        <v>2</v>
      </c>
      <c r="G2625" t="e">
        <f t="shared" si="320"/>
        <v>#N/A</v>
      </c>
      <c r="H2625" t="e">
        <f t="shared" si="316"/>
        <v>#N/A</v>
      </c>
      <c r="I2625" t="e">
        <f t="shared" si="317"/>
        <v>#N/A</v>
      </c>
      <c r="J2625" t="e">
        <f t="shared" si="318"/>
        <v>#N/A</v>
      </c>
      <c r="K2625" t="e">
        <f t="shared" si="319"/>
        <v>#N/A</v>
      </c>
      <c r="T2625" t="str">
        <f t="shared" si="314"/>
        <v/>
      </c>
    </row>
    <row r="2626" spans="2:20" x14ac:dyDescent="0.55000000000000004">
      <c r="B2626" s="15" t="str">
        <f t="shared" si="315"/>
        <v>_5</v>
      </c>
      <c r="E2626">
        <v>2</v>
      </c>
      <c r="G2626" t="e">
        <f t="shared" si="320"/>
        <v>#N/A</v>
      </c>
      <c r="H2626" t="e">
        <f t="shared" si="316"/>
        <v>#N/A</v>
      </c>
      <c r="I2626" t="e">
        <f t="shared" si="317"/>
        <v>#N/A</v>
      </c>
      <c r="J2626" t="e">
        <f t="shared" si="318"/>
        <v>#N/A</v>
      </c>
      <c r="K2626" t="e">
        <f t="shared" si="319"/>
        <v>#N/A</v>
      </c>
      <c r="T2626" t="str">
        <f t="shared" si="314"/>
        <v/>
      </c>
    </row>
    <row r="2627" spans="2:20" x14ac:dyDescent="0.55000000000000004">
      <c r="B2627" s="15" t="str">
        <f t="shared" si="315"/>
        <v>_5</v>
      </c>
      <c r="E2627">
        <v>2</v>
      </c>
      <c r="G2627" t="e">
        <f t="shared" si="320"/>
        <v>#N/A</v>
      </c>
      <c r="H2627" t="e">
        <f t="shared" si="316"/>
        <v>#N/A</v>
      </c>
      <c r="I2627" t="e">
        <f t="shared" si="317"/>
        <v>#N/A</v>
      </c>
      <c r="J2627" t="e">
        <f t="shared" si="318"/>
        <v>#N/A</v>
      </c>
      <c r="K2627" t="e">
        <f t="shared" si="319"/>
        <v>#N/A</v>
      </c>
      <c r="T2627" t="str">
        <f t="shared" si="314"/>
        <v/>
      </c>
    </row>
    <row r="2628" spans="2:20" x14ac:dyDescent="0.55000000000000004">
      <c r="B2628" s="15" t="str">
        <f t="shared" si="315"/>
        <v>_5</v>
      </c>
      <c r="E2628">
        <v>2</v>
      </c>
      <c r="G2628" t="e">
        <f t="shared" si="320"/>
        <v>#N/A</v>
      </c>
      <c r="H2628" t="e">
        <f t="shared" si="316"/>
        <v>#N/A</v>
      </c>
      <c r="I2628" t="e">
        <f t="shared" si="317"/>
        <v>#N/A</v>
      </c>
      <c r="J2628" t="e">
        <f t="shared" si="318"/>
        <v>#N/A</v>
      </c>
      <c r="K2628" t="e">
        <f t="shared" si="319"/>
        <v>#N/A</v>
      </c>
      <c r="T2628" t="str">
        <f t="shared" ref="T2628:T2691" si="321">IF(S2628&lt;&gt;"", S2628*236.588, "")</f>
        <v/>
      </c>
    </row>
    <row r="2629" spans="2:20" x14ac:dyDescent="0.55000000000000004">
      <c r="B2629" s="15" t="str">
        <f t="shared" si="315"/>
        <v>_5</v>
      </c>
      <c r="E2629">
        <v>2</v>
      </c>
      <c r="G2629" t="e">
        <f t="shared" si="320"/>
        <v>#N/A</v>
      </c>
      <c r="H2629" t="e">
        <f t="shared" si="316"/>
        <v>#N/A</v>
      </c>
      <c r="I2629" t="e">
        <f t="shared" si="317"/>
        <v>#N/A</v>
      </c>
      <c r="J2629" t="e">
        <f t="shared" si="318"/>
        <v>#N/A</v>
      </c>
      <c r="K2629" t="e">
        <f t="shared" si="319"/>
        <v>#N/A</v>
      </c>
      <c r="T2629" t="str">
        <f t="shared" si="321"/>
        <v/>
      </c>
    </row>
    <row r="2630" spans="2:20" x14ac:dyDescent="0.55000000000000004">
      <c r="B2630" s="15" t="str">
        <f t="shared" si="315"/>
        <v>_5</v>
      </c>
      <c r="E2630">
        <v>2</v>
      </c>
      <c r="G2630" t="e">
        <f t="shared" si="320"/>
        <v>#N/A</v>
      </c>
      <c r="H2630" t="e">
        <f t="shared" si="316"/>
        <v>#N/A</v>
      </c>
      <c r="I2630" t="e">
        <f t="shared" si="317"/>
        <v>#N/A</v>
      </c>
      <c r="J2630" t="e">
        <f t="shared" si="318"/>
        <v>#N/A</v>
      </c>
      <c r="K2630" t="e">
        <f t="shared" si="319"/>
        <v>#N/A</v>
      </c>
      <c r="T2630" t="str">
        <f t="shared" si="321"/>
        <v/>
      </c>
    </row>
    <row r="2631" spans="2:20" x14ac:dyDescent="0.55000000000000004">
      <c r="B2631" s="15" t="str">
        <f t="shared" si="315"/>
        <v>_5</v>
      </c>
      <c r="E2631">
        <v>2</v>
      </c>
      <c r="G2631" t="e">
        <f t="shared" si="320"/>
        <v>#N/A</v>
      </c>
      <c r="H2631" t="e">
        <f t="shared" si="316"/>
        <v>#N/A</v>
      </c>
      <c r="I2631" t="e">
        <f t="shared" si="317"/>
        <v>#N/A</v>
      </c>
      <c r="J2631" t="e">
        <f t="shared" si="318"/>
        <v>#N/A</v>
      </c>
      <c r="K2631" t="e">
        <f t="shared" si="319"/>
        <v>#N/A</v>
      </c>
      <c r="T2631" t="str">
        <f t="shared" si="321"/>
        <v/>
      </c>
    </row>
    <row r="2632" spans="2:20" x14ac:dyDescent="0.55000000000000004">
      <c r="B2632" s="15" t="str">
        <f t="shared" ref="B2632:B2695" si="322">A2632 &amp; "_5"</f>
        <v>_5</v>
      </c>
      <c r="E2632">
        <v>2</v>
      </c>
      <c r="G2632" t="e">
        <f t="shared" si="320"/>
        <v>#N/A</v>
      </c>
      <c r="H2632" t="e">
        <f t="shared" si="316"/>
        <v>#N/A</v>
      </c>
      <c r="I2632" t="e">
        <f t="shared" si="317"/>
        <v>#N/A</v>
      </c>
      <c r="J2632" t="e">
        <f t="shared" si="318"/>
        <v>#N/A</v>
      </c>
      <c r="K2632" t="e">
        <f t="shared" si="319"/>
        <v>#N/A</v>
      </c>
      <c r="T2632" t="str">
        <f t="shared" si="321"/>
        <v/>
      </c>
    </row>
    <row r="2633" spans="2:20" x14ac:dyDescent="0.55000000000000004">
      <c r="B2633" s="15" t="str">
        <f t="shared" si="322"/>
        <v>_5</v>
      </c>
      <c r="E2633">
        <v>2</v>
      </c>
      <c r="G2633" t="e">
        <f t="shared" si="320"/>
        <v>#N/A</v>
      </c>
      <c r="H2633" t="e">
        <f t="shared" si="316"/>
        <v>#N/A</v>
      </c>
      <c r="I2633" t="e">
        <f t="shared" si="317"/>
        <v>#N/A</v>
      </c>
      <c r="J2633" t="e">
        <f t="shared" si="318"/>
        <v>#N/A</v>
      </c>
      <c r="K2633" t="e">
        <f t="shared" si="319"/>
        <v>#N/A</v>
      </c>
      <c r="T2633" t="str">
        <f t="shared" si="321"/>
        <v/>
      </c>
    </row>
    <row r="2634" spans="2:20" x14ac:dyDescent="0.55000000000000004">
      <c r="B2634" s="15" t="str">
        <f t="shared" si="322"/>
        <v>_5</v>
      </c>
      <c r="E2634">
        <v>2</v>
      </c>
      <c r="G2634" t="e">
        <f t="shared" si="320"/>
        <v>#N/A</v>
      </c>
      <c r="H2634" t="e">
        <f t="shared" si="316"/>
        <v>#N/A</v>
      </c>
      <c r="I2634" t="e">
        <f t="shared" si="317"/>
        <v>#N/A</v>
      </c>
      <c r="J2634" t="e">
        <f t="shared" si="318"/>
        <v>#N/A</v>
      </c>
      <c r="K2634" t="e">
        <f t="shared" si="319"/>
        <v>#N/A</v>
      </c>
      <c r="T2634" t="str">
        <f t="shared" si="321"/>
        <v/>
      </c>
    </row>
    <row r="2635" spans="2:20" x14ac:dyDescent="0.55000000000000004">
      <c r="B2635" s="15" t="str">
        <f t="shared" si="322"/>
        <v>_5</v>
      </c>
      <c r="E2635">
        <v>2</v>
      </c>
      <c r="G2635" t="e">
        <f t="shared" si="320"/>
        <v>#N/A</v>
      </c>
      <c r="H2635" t="e">
        <f t="shared" si="316"/>
        <v>#N/A</v>
      </c>
      <c r="I2635" t="e">
        <f t="shared" si="317"/>
        <v>#N/A</v>
      </c>
      <c r="J2635" t="e">
        <f t="shared" si="318"/>
        <v>#N/A</v>
      </c>
      <c r="K2635" t="e">
        <f t="shared" si="319"/>
        <v>#N/A</v>
      </c>
      <c r="T2635" t="str">
        <f t="shared" si="321"/>
        <v/>
      </c>
    </row>
    <row r="2636" spans="2:20" x14ac:dyDescent="0.55000000000000004">
      <c r="B2636" s="15" t="str">
        <f t="shared" si="322"/>
        <v>_5</v>
      </c>
      <c r="E2636">
        <v>2</v>
      </c>
      <c r="G2636" t="e">
        <f t="shared" si="320"/>
        <v>#N/A</v>
      </c>
      <c r="H2636" t="e">
        <f t="shared" si="316"/>
        <v>#N/A</v>
      </c>
      <c r="I2636" t="e">
        <f t="shared" si="317"/>
        <v>#N/A</v>
      </c>
      <c r="J2636" t="e">
        <f t="shared" si="318"/>
        <v>#N/A</v>
      </c>
      <c r="K2636" t="e">
        <f t="shared" si="319"/>
        <v>#N/A</v>
      </c>
      <c r="T2636" t="str">
        <f t="shared" si="321"/>
        <v/>
      </c>
    </row>
    <row r="2637" spans="2:20" x14ac:dyDescent="0.55000000000000004">
      <c r="B2637" s="15" t="str">
        <f t="shared" si="322"/>
        <v>_5</v>
      </c>
      <c r="E2637">
        <v>2</v>
      </c>
      <c r="G2637" t="e">
        <f t="shared" si="320"/>
        <v>#N/A</v>
      </c>
      <c r="H2637" t="e">
        <f t="shared" si="316"/>
        <v>#N/A</v>
      </c>
      <c r="I2637" t="e">
        <f t="shared" si="317"/>
        <v>#N/A</v>
      </c>
      <c r="J2637" t="e">
        <f t="shared" si="318"/>
        <v>#N/A</v>
      </c>
      <c r="K2637" t="e">
        <f t="shared" si="319"/>
        <v>#N/A</v>
      </c>
      <c r="T2637" t="str">
        <f t="shared" si="321"/>
        <v/>
      </c>
    </row>
    <row r="2638" spans="2:20" x14ac:dyDescent="0.55000000000000004">
      <c r="B2638" s="15" t="str">
        <f t="shared" si="322"/>
        <v>_5</v>
      </c>
      <c r="E2638">
        <v>2</v>
      </c>
      <c r="G2638" t="e">
        <f t="shared" si="320"/>
        <v>#N/A</v>
      </c>
      <c r="H2638" t="e">
        <f t="shared" si="316"/>
        <v>#N/A</v>
      </c>
      <c r="I2638" t="e">
        <f t="shared" si="317"/>
        <v>#N/A</v>
      </c>
      <c r="J2638" t="e">
        <f t="shared" si="318"/>
        <v>#N/A</v>
      </c>
      <c r="K2638" t="e">
        <f t="shared" si="319"/>
        <v>#N/A</v>
      </c>
      <c r="T2638" t="str">
        <f t="shared" si="321"/>
        <v/>
      </c>
    </row>
    <row r="2639" spans="2:20" x14ac:dyDescent="0.55000000000000004">
      <c r="B2639" s="15" t="str">
        <f t="shared" si="322"/>
        <v>_5</v>
      </c>
      <c r="E2639">
        <v>2</v>
      </c>
      <c r="G2639" t="e">
        <f t="shared" si="320"/>
        <v>#N/A</v>
      </c>
      <c r="H2639" t="e">
        <f t="shared" si="316"/>
        <v>#N/A</v>
      </c>
      <c r="I2639" t="e">
        <f t="shared" si="317"/>
        <v>#N/A</v>
      </c>
      <c r="J2639" t="e">
        <f t="shared" si="318"/>
        <v>#N/A</v>
      </c>
      <c r="K2639" t="e">
        <f t="shared" si="319"/>
        <v>#N/A</v>
      </c>
      <c r="T2639" t="str">
        <f t="shared" si="321"/>
        <v/>
      </c>
    </row>
    <row r="2640" spans="2:20" x14ac:dyDescent="0.55000000000000004">
      <c r="B2640" s="15" t="str">
        <f t="shared" si="322"/>
        <v>_5</v>
      </c>
      <c r="E2640">
        <v>2</v>
      </c>
      <c r="G2640" t="e">
        <f t="shared" si="320"/>
        <v>#N/A</v>
      </c>
      <c r="H2640" t="e">
        <f t="shared" si="316"/>
        <v>#N/A</v>
      </c>
      <c r="I2640" t="e">
        <f t="shared" si="317"/>
        <v>#N/A</v>
      </c>
      <c r="J2640" t="e">
        <f t="shared" si="318"/>
        <v>#N/A</v>
      </c>
      <c r="K2640" t="e">
        <f t="shared" si="319"/>
        <v>#N/A</v>
      </c>
      <c r="T2640" t="str">
        <f t="shared" si="321"/>
        <v/>
      </c>
    </row>
    <row r="2641" spans="2:20" x14ac:dyDescent="0.55000000000000004">
      <c r="B2641" s="15" t="str">
        <f t="shared" si="322"/>
        <v>_5</v>
      </c>
      <c r="E2641">
        <v>2</v>
      </c>
      <c r="G2641" t="e">
        <f t="shared" si="320"/>
        <v>#N/A</v>
      </c>
      <c r="H2641" t="e">
        <f t="shared" ref="H2641:H2704" si="323">VLOOKUP($F2641, $W$1:$AB$10, 3, FALSE)</f>
        <v>#N/A</v>
      </c>
      <c r="I2641" t="e">
        <f t="shared" ref="I2641:I2704" si="324">VLOOKUP($F2641, $W$1:$AB$10, 4, FALSE)</f>
        <v>#N/A</v>
      </c>
      <c r="J2641" t="e">
        <f t="shared" ref="J2641:J2704" si="325">VLOOKUP($F2641, $W$1:$AC$10, 5, FALSE)</f>
        <v>#N/A</v>
      </c>
      <c r="K2641" t="e">
        <f t="shared" ref="K2641:K2704" si="326">VLOOKUP($F2641, $W$1:$AB$10, 6, FALSE)</f>
        <v>#N/A</v>
      </c>
      <c r="T2641" t="str">
        <f t="shared" si="321"/>
        <v/>
      </c>
    </row>
    <row r="2642" spans="2:20" x14ac:dyDescent="0.55000000000000004">
      <c r="B2642" s="15" t="str">
        <f t="shared" si="322"/>
        <v>_5</v>
      </c>
      <c r="E2642">
        <v>2</v>
      </c>
      <c r="G2642" t="e">
        <f t="shared" si="320"/>
        <v>#N/A</v>
      </c>
      <c r="H2642" t="e">
        <f t="shared" si="323"/>
        <v>#N/A</v>
      </c>
      <c r="I2642" t="e">
        <f t="shared" si="324"/>
        <v>#N/A</v>
      </c>
      <c r="J2642" t="e">
        <f t="shared" si="325"/>
        <v>#N/A</v>
      </c>
      <c r="K2642" t="e">
        <f t="shared" si="326"/>
        <v>#N/A</v>
      </c>
      <c r="T2642" t="str">
        <f t="shared" si="321"/>
        <v/>
      </c>
    </row>
    <row r="2643" spans="2:20" x14ac:dyDescent="0.55000000000000004">
      <c r="B2643" s="15" t="str">
        <f t="shared" si="322"/>
        <v>_5</v>
      </c>
      <c r="E2643">
        <v>2</v>
      </c>
      <c r="G2643" t="e">
        <f t="shared" si="320"/>
        <v>#N/A</v>
      </c>
      <c r="H2643" t="e">
        <f t="shared" si="323"/>
        <v>#N/A</v>
      </c>
      <c r="I2643" t="e">
        <f t="shared" si="324"/>
        <v>#N/A</v>
      </c>
      <c r="J2643" t="e">
        <f t="shared" si="325"/>
        <v>#N/A</v>
      </c>
      <c r="K2643" t="e">
        <f t="shared" si="326"/>
        <v>#N/A</v>
      </c>
      <c r="T2643" t="str">
        <f t="shared" si="321"/>
        <v/>
      </c>
    </row>
    <row r="2644" spans="2:20" x14ac:dyDescent="0.55000000000000004">
      <c r="B2644" s="15" t="str">
        <f t="shared" si="322"/>
        <v>_5</v>
      </c>
      <c r="E2644">
        <v>2</v>
      </c>
      <c r="G2644" t="e">
        <f t="shared" si="320"/>
        <v>#N/A</v>
      </c>
      <c r="H2644" t="e">
        <f t="shared" si="323"/>
        <v>#N/A</v>
      </c>
      <c r="I2644" t="e">
        <f t="shared" si="324"/>
        <v>#N/A</v>
      </c>
      <c r="J2644" t="e">
        <f t="shared" si="325"/>
        <v>#N/A</v>
      </c>
      <c r="K2644" t="e">
        <f t="shared" si="326"/>
        <v>#N/A</v>
      </c>
      <c r="T2644" t="str">
        <f t="shared" si="321"/>
        <v/>
      </c>
    </row>
    <row r="2645" spans="2:20" x14ac:dyDescent="0.55000000000000004">
      <c r="B2645" s="15" t="str">
        <f t="shared" si="322"/>
        <v>_5</v>
      </c>
      <c r="E2645">
        <v>2</v>
      </c>
      <c r="G2645" t="e">
        <f t="shared" si="320"/>
        <v>#N/A</v>
      </c>
      <c r="H2645" t="e">
        <f t="shared" si="323"/>
        <v>#N/A</v>
      </c>
      <c r="I2645" t="e">
        <f t="shared" si="324"/>
        <v>#N/A</v>
      </c>
      <c r="J2645" t="e">
        <f t="shared" si="325"/>
        <v>#N/A</v>
      </c>
      <c r="K2645" t="e">
        <f t="shared" si="326"/>
        <v>#N/A</v>
      </c>
      <c r="T2645" t="str">
        <f t="shared" si="321"/>
        <v/>
      </c>
    </row>
    <row r="2646" spans="2:20" x14ac:dyDescent="0.55000000000000004">
      <c r="B2646" s="15" t="str">
        <f t="shared" si="322"/>
        <v>_5</v>
      </c>
      <c r="E2646">
        <v>2</v>
      </c>
      <c r="G2646" t="e">
        <f t="shared" si="320"/>
        <v>#N/A</v>
      </c>
      <c r="H2646" t="e">
        <f t="shared" si="323"/>
        <v>#N/A</v>
      </c>
      <c r="I2646" t="e">
        <f t="shared" si="324"/>
        <v>#N/A</v>
      </c>
      <c r="J2646" t="e">
        <f t="shared" si="325"/>
        <v>#N/A</v>
      </c>
      <c r="K2646" t="e">
        <f t="shared" si="326"/>
        <v>#N/A</v>
      </c>
      <c r="T2646" t="str">
        <f t="shared" si="321"/>
        <v/>
      </c>
    </row>
    <row r="2647" spans="2:20" x14ac:dyDescent="0.55000000000000004">
      <c r="B2647" s="15" t="str">
        <f t="shared" si="322"/>
        <v>_5</v>
      </c>
      <c r="E2647">
        <v>2</v>
      </c>
      <c r="G2647" t="e">
        <f t="shared" si="320"/>
        <v>#N/A</v>
      </c>
      <c r="H2647" t="e">
        <f t="shared" si="323"/>
        <v>#N/A</v>
      </c>
      <c r="I2647" t="e">
        <f t="shared" si="324"/>
        <v>#N/A</v>
      </c>
      <c r="J2647" t="e">
        <f t="shared" si="325"/>
        <v>#N/A</v>
      </c>
      <c r="K2647" t="e">
        <f t="shared" si="326"/>
        <v>#N/A</v>
      </c>
      <c r="T2647" t="str">
        <f t="shared" si="321"/>
        <v/>
      </c>
    </row>
    <row r="2648" spans="2:20" x14ac:dyDescent="0.55000000000000004">
      <c r="B2648" s="15" t="str">
        <f t="shared" si="322"/>
        <v>_5</v>
      </c>
      <c r="E2648">
        <v>2</v>
      </c>
      <c r="G2648" t="e">
        <f t="shared" si="320"/>
        <v>#N/A</v>
      </c>
      <c r="H2648" t="e">
        <f t="shared" si="323"/>
        <v>#N/A</v>
      </c>
      <c r="I2648" t="e">
        <f t="shared" si="324"/>
        <v>#N/A</v>
      </c>
      <c r="J2648" t="e">
        <f t="shared" si="325"/>
        <v>#N/A</v>
      </c>
      <c r="K2648" t="e">
        <f t="shared" si="326"/>
        <v>#N/A</v>
      </c>
      <c r="T2648" t="str">
        <f t="shared" si="321"/>
        <v/>
      </c>
    </row>
    <row r="2649" spans="2:20" x14ac:dyDescent="0.55000000000000004">
      <c r="B2649" s="15" t="str">
        <f t="shared" si="322"/>
        <v>_5</v>
      </c>
      <c r="E2649">
        <v>2</v>
      </c>
      <c r="G2649" t="e">
        <f t="shared" si="320"/>
        <v>#N/A</v>
      </c>
      <c r="H2649" t="e">
        <f t="shared" si="323"/>
        <v>#N/A</v>
      </c>
      <c r="I2649" t="e">
        <f t="shared" si="324"/>
        <v>#N/A</v>
      </c>
      <c r="J2649" t="e">
        <f t="shared" si="325"/>
        <v>#N/A</v>
      </c>
      <c r="K2649" t="e">
        <f t="shared" si="326"/>
        <v>#N/A</v>
      </c>
      <c r="T2649" t="str">
        <f t="shared" si="321"/>
        <v/>
      </c>
    </row>
    <row r="2650" spans="2:20" x14ac:dyDescent="0.55000000000000004">
      <c r="B2650" s="15" t="str">
        <f t="shared" si="322"/>
        <v>_5</v>
      </c>
      <c r="E2650">
        <v>2</v>
      </c>
      <c r="G2650" t="e">
        <f t="shared" si="320"/>
        <v>#N/A</v>
      </c>
      <c r="H2650" t="e">
        <f t="shared" si="323"/>
        <v>#N/A</v>
      </c>
      <c r="I2650" t="e">
        <f t="shared" si="324"/>
        <v>#N/A</v>
      </c>
      <c r="J2650" t="e">
        <f t="shared" si="325"/>
        <v>#N/A</v>
      </c>
      <c r="K2650" t="e">
        <f t="shared" si="326"/>
        <v>#N/A</v>
      </c>
      <c r="T2650" t="str">
        <f t="shared" si="321"/>
        <v/>
      </c>
    </row>
    <row r="2651" spans="2:20" x14ac:dyDescent="0.55000000000000004">
      <c r="B2651" s="15" t="str">
        <f t="shared" si="322"/>
        <v>_5</v>
      </c>
      <c r="E2651">
        <v>2</v>
      </c>
      <c r="G2651" t="e">
        <f t="shared" si="320"/>
        <v>#N/A</v>
      </c>
      <c r="H2651" t="e">
        <f t="shared" si="323"/>
        <v>#N/A</v>
      </c>
      <c r="I2651" t="e">
        <f t="shared" si="324"/>
        <v>#N/A</v>
      </c>
      <c r="J2651" t="e">
        <f t="shared" si="325"/>
        <v>#N/A</v>
      </c>
      <c r="K2651" t="e">
        <f t="shared" si="326"/>
        <v>#N/A</v>
      </c>
      <c r="T2651" t="str">
        <f t="shared" si="321"/>
        <v/>
      </c>
    </row>
    <row r="2652" spans="2:20" x14ac:dyDescent="0.55000000000000004">
      <c r="B2652" s="15" t="str">
        <f t="shared" si="322"/>
        <v>_5</v>
      </c>
      <c r="E2652">
        <v>2</v>
      </c>
      <c r="G2652" t="e">
        <f t="shared" si="320"/>
        <v>#N/A</v>
      </c>
      <c r="H2652" t="e">
        <f t="shared" si="323"/>
        <v>#N/A</v>
      </c>
      <c r="I2652" t="e">
        <f t="shared" si="324"/>
        <v>#N/A</v>
      </c>
      <c r="J2652" t="e">
        <f t="shared" si="325"/>
        <v>#N/A</v>
      </c>
      <c r="K2652" t="e">
        <f t="shared" si="326"/>
        <v>#N/A</v>
      </c>
      <c r="T2652" t="str">
        <f t="shared" si="321"/>
        <v/>
      </c>
    </row>
    <row r="2653" spans="2:20" x14ac:dyDescent="0.55000000000000004">
      <c r="B2653" s="15" t="str">
        <f t="shared" si="322"/>
        <v>_5</v>
      </c>
      <c r="E2653">
        <v>2</v>
      </c>
      <c r="G2653" t="e">
        <f t="shared" si="320"/>
        <v>#N/A</v>
      </c>
      <c r="H2653" t="e">
        <f t="shared" si="323"/>
        <v>#N/A</v>
      </c>
      <c r="I2653" t="e">
        <f t="shared" si="324"/>
        <v>#N/A</v>
      </c>
      <c r="J2653" t="e">
        <f t="shared" si="325"/>
        <v>#N/A</v>
      </c>
      <c r="K2653" t="e">
        <f t="shared" si="326"/>
        <v>#N/A</v>
      </c>
      <c r="T2653" t="str">
        <f t="shared" si="321"/>
        <v/>
      </c>
    </row>
    <row r="2654" spans="2:20" x14ac:dyDescent="0.55000000000000004">
      <c r="B2654" s="15" t="str">
        <f t="shared" si="322"/>
        <v>_5</v>
      </c>
      <c r="E2654">
        <v>2</v>
      </c>
      <c r="G2654" t="e">
        <f t="shared" si="320"/>
        <v>#N/A</v>
      </c>
      <c r="H2654" t="e">
        <f t="shared" si="323"/>
        <v>#N/A</v>
      </c>
      <c r="I2654" t="e">
        <f t="shared" si="324"/>
        <v>#N/A</v>
      </c>
      <c r="J2654" t="e">
        <f t="shared" si="325"/>
        <v>#N/A</v>
      </c>
      <c r="K2654" t="e">
        <f t="shared" si="326"/>
        <v>#N/A</v>
      </c>
      <c r="T2654" t="str">
        <f t="shared" si="321"/>
        <v/>
      </c>
    </row>
    <row r="2655" spans="2:20" x14ac:dyDescent="0.55000000000000004">
      <c r="B2655" s="15" t="str">
        <f t="shared" si="322"/>
        <v>_5</v>
      </c>
      <c r="E2655">
        <v>2</v>
      </c>
      <c r="G2655" t="e">
        <f t="shared" si="320"/>
        <v>#N/A</v>
      </c>
      <c r="H2655" t="e">
        <f t="shared" si="323"/>
        <v>#N/A</v>
      </c>
      <c r="I2655" t="e">
        <f t="shared" si="324"/>
        <v>#N/A</v>
      </c>
      <c r="J2655" t="e">
        <f t="shared" si="325"/>
        <v>#N/A</v>
      </c>
      <c r="K2655" t="e">
        <f t="shared" si="326"/>
        <v>#N/A</v>
      </c>
      <c r="T2655" t="str">
        <f t="shared" si="321"/>
        <v/>
      </c>
    </row>
    <row r="2656" spans="2:20" x14ac:dyDescent="0.55000000000000004">
      <c r="B2656" s="15" t="str">
        <f t="shared" si="322"/>
        <v>_5</v>
      </c>
      <c r="E2656">
        <v>2</v>
      </c>
      <c r="G2656" t="e">
        <f t="shared" si="320"/>
        <v>#N/A</v>
      </c>
      <c r="H2656" t="e">
        <f t="shared" si="323"/>
        <v>#N/A</v>
      </c>
      <c r="I2656" t="e">
        <f t="shared" si="324"/>
        <v>#N/A</v>
      </c>
      <c r="J2656" t="e">
        <f t="shared" si="325"/>
        <v>#N/A</v>
      </c>
      <c r="K2656" t="e">
        <f t="shared" si="326"/>
        <v>#N/A</v>
      </c>
      <c r="T2656" t="str">
        <f t="shared" si="321"/>
        <v/>
      </c>
    </row>
    <row r="2657" spans="2:20" x14ac:dyDescent="0.55000000000000004">
      <c r="B2657" s="15" t="str">
        <f t="shared" si="322"/>
        <v>_5</v>
      </c>
      <c r="E2657">
        <v>2</v>
      </c>
      <c r="G2657" t="e">
        <f t="shared" si="320"/>
        <v>#N/A</v>
      </c>
      <c r="H2657" t="e">
        <f t="shared" si="323"/>
        <v>#N/A</v>
      </c>
      <c r="I2657" t="e">
        <f t="shared" si="324"/>
        <v>#N/A</v>
      </c>
      <c r="J2657" t="e">
        <f t="shared" si="325"/>
        <v>#N/A</v>
      </c>
      <c r="K2657" t="e">
        <f t="shared" si="326"/>
        <v>#N/A</v>
      </c>
      <c r="T2657" t="str">
        <f t="shared" si="321"/>
        <v/>
      </c>
    </row>
    <row r="2658" spans="2:20" x14ac:dyDescent="0.55000000000000004">
      <c r="B2658" s="15" t="str">
        <f t="shared" si="322"/>
        <v>_5</v>
      </c>
      <c r="E2658">
        <v>2</v>
      </c>
      <c r="G2658" t="e">
        <f t="shared" si="320"/>
        <v>#N/A</v>
      </c>
      <c r="H2658" t="e">
        <f t="shared" si="323"/>
        <v>#N/A</v>
      </c>
      <c r="I2658" t="e">
        <f t="shared" si="324"/>
        <v>#N/A</v>
      </c>
      <c r="J2658" t="e">
        <f t="shared" si="325"/>
        <v>#N/A</v>
      </c>
      <c r="K2658" t="e">
        <f t="shared" si="326"/>
        <v>#N/A</v>
      </c>
      <c r="T2658" t="str">
        <f t="shared" si="321"/>
        <v/>
      </c>
    </row>
    <row r="2659" spans="2:20" x14ac:dyDescent="0.55000000000000004">
      <c r="B2659" s="15" t="str">
        <f t="shared" si="322"/>
        <v>_5</v>
      </c>
      <c r="E2659">
        <v>2</v>
      </c>
      <c r="G2659" t="e">
        <f t="shared" si="320"/>
        <v>#N/A</v>
      </c>
      <c r="H2659" t="e">
        <f t="shared" si="323"/>
        <v>#N/A</v>
      </c>
      <c r="I2659" t="e">
        <f t="shared" si="324"/>
        <v>#N/A</v>
      </c>
      <c r="J2659" t="e">
        <f t="shared" si="325"/>
        <v>#N/A</v>
      </c>
      <c r="K2659" t="e">
        <f t="shared" si="326"/>
        <v>#N/A</v>
      </c>
      <c r="T2659" t="str">
        <f t="shared" si="321"/>
        <v/>
      </c>
    </row>
    <row r="2660" spans="2:20" x14ac:dyDescent="0.55000000000000004">
      <c r="B2660" s="15" t="str">
        <f t="shared" si="322"/>
        <v>_5</v>
      </c>
      <c r="E2660">
        <v>2</v>
      </c>
      <c r="G2660" t="e">
        <f t="shared" si="320"/>
        <v>#N/A</v>
      </c>
      <c r="H2660" t="e">
        <f t="shared" si="323"/>
        <v>#N/A</v>
      </c>
      <c r="I2660" t="e">
        <f t="shared" si="324"/>
        <v>#N/A</v>
      </c>
      <c r="J2660" t="e">
        <f t="shared" si="325"/>
        <v>#N/A</v>
      </c>
      <c r="K2660" t="e">
        <f t="shared" si="326"/>
        <v>#N/A</v>
      </c>
      <c r="T2660" t="str">
        <f t="shared" si="321"/>
        <v/>
      </c>
    </row>
    <row r="2661" spans="2:20" x14ac:dyDescent="0.55000000000000004">
      <c r="B2661" s="15" t="str">
        <f t="shared" si="322"/>
        <v>_5</v>
      </c>
      <c r="E2661">
        <v>2</v>
      </c>
      <c r="G2661" t="e">
        <f t="shared" si="320"/>
        <v>#N/A</v>
      </c>
      <c r="H2661" t="e">
        <f t="shared" si="323"/>
        <v>#N/A</v>
      </c>
      <c r="I2661" t="e">
        <f t="shared" si="324"/>
        <v>#N/A</v>
      </c>
      <c r="J2661" t="e">
        <f t="shared" si="325"/>
        <v>#N/A</v>
      </c>
      <c r="K2661" t="e">
        <f t="shared" si="326"/>
        <v>#N/A</v>
      </c>
      <c r="T2661" t="str">
        <f t="shared" si="321"/>
        <v/>
      </c>
    </row>
    <row r="2662" spans="2:20" x14ac:dyDescent="0.55000000000000004">
      <c r="B2662" s="15" t="str">
        <f t="shared" si="322"/>
        <v>_5</v>
      </c>
      <c r="E2662">
        <v>2</v>
      </c>
      <c r="G2662" t="e">
        <f t="shared" si="320"/>
        <v>#N/A</v>
      </c>
      <c r="H2662" t="e">
        <f t="shared" si="323"/>
        <v>#N/A</v>
      </c>
      <c r="I2662" t="e">
        <f t="shared" si="324"/>
        <v>#N/A</v>
      </c>
      <c r="J2662" t="e">
        <f t="shared" si="325"/>
        <v>#N/A</v>
      </c>
      <c r="K2662" t="e">
        <f t="shared" si="326"/>
        <v>#N/A</v>
      </c>
      <c r="T2662" t="str">
        <f t="shared" si="321"/>
        <v/>
      </c>
    </row>
    <row r="2663" spans="2:20" x14ac:dyDescent="0.55000000000000004">
      <c r="B2663" s="15" t="str">
        <f t="shared" si="322"/>
        <v>_5</v>
      </c>
      <c r="E2663">
        <v>2</v>
      </c>
      <c r="G2663" t="e">
        <f t="shared" si="320"/>
        <v>#N/A</v>
      </c>
      <c r="H2663" t="e">
        <f t="shared" si="323"/>
        <v>#N/A</v>
      </c>
      <c r="I2663" t="e">
        <f t="shared" si="324"/>
        <v>#N/A</v>
      </c>
      <c r="J2663" t="e">
        <f t="shared" si="325"/>
        <v>#N/A</v>
      </c>
      <c r="K2663" t="e">
        <f t="shared" si="326"/>
        <v>#N/A</v>
      </c>
      <c r="T2663" t="str">
        <f t="shared" si="321"/>
        <v/>
      </c>
    </row>
    <row r="2664" spans="2:20" x14ac:dyDescent="0.55000000000000004">
      <c r="B2664" s="15" t="str">
        <f t="shared" si="322"/>
        <v>_5</v>
      </c>
      <c r="E2664">
        <v>2</v>
      </c>
      <c r="G2664" t="e">
        <f t="shared" si="320"/>
        <v>#N/A</v>
      </c>
      <c r="H2664" t="e">
        <f t="shared" si="323"/>
        <v>#N/A</v>
      </c>
      <c r="I2664" t="e">
        <f t="shared" si="324"/>
        <v>#N/A</v>
      </c>
      <c r="J2664" t="e">
        <f t="shared" si="325"/>
        <v>#N/A</v>
      </c>
      <c r="K2664" t="e">
        <f t="shared" si="326"/>
        <v>#N/A</v>
      </c>
      <c r="T2664" t="str">
        <f t="shared" si="321"/>
        <v/>
      </c>
    </row>
    <row r="2665" spans="2:20" x14ac:dyDescent="0.55000000000000004">
      <c r="B2665" s="15" t="str">
        <f t="shared" si="322"/>
        <v>_5</v>
      </c>
      <c r="E2665">
        <v>2</v>
      </c>
      <c r="G2665" t="e">
        <f t="shared" si="320"/>
        <v>#N/A</v>
      </c>
      <c r="H2665" t="e">
        <f t="shared" si="323"/>
        <v>#N/A</v>
      </c>
      <c r="I2665" t="e">
        <f t="shared" si="324"/>
        <v>#N/A</v>
      </c>
      <c r="J2665" t="e">
        <f t="shared" si="325"/>
        <v>#N/A</v>
      </c>
      <c r="K2665" t="e">
        <f t="shared" si="326"/>
        <v>#N/A</v>
      </c>
      <c r="T2665" t="str">
        <f t="shared" si="321"/>
        <v/>
      </c>
    </row>
    <row r="2666" spans="2:20" x14ac:dyDescent="0.55000000000000004">
      <c r="B2666" s="15" t="str">
        <f t="shared" si="322"/>
        <v>_5</v>
      </c>
      <c r="E2666">
        <v>2</v>
      </c>
      <c r="G2666" t="e">
        <f t="shared" si="320"/>
        <v>#N/A</v>
      </c>
      <c r="H2666" t="e">
        <f t="shared" si="323"/>
        <v>#N/A</v>
      </c>
      <c r="I2666" t="e">
        <f t="shared" si="324"/>
        <v>#N/A</v>
      </c>
      <c r="J2666" t="e">
        <f t="shared" si="325"/>
        <v>#N/A</v>
      </c>
      <c r="K2666" t="e">
        <f t="shared" si="326"/>
        <v>#N/A</v>
      </c>
      <c r="T2666" t="str">
        <f t="shared" si="321"/>
        <v/>
      </c>
    </row>
    <row r="2667" spans="2:20" x14ac:dyDescent="0.55000000000000004">
      <c r="B2667" s="15" t="str">
        <f t="shared" si="322"/>
        <v>_5</v>
      </c>
      <c r="E2667">
        <v>2</v>
      </c>
      <c r="G2667" t="e">
        <f t="shared" si="320"/>
        <v>#N/A</v>
      </c>
      <c r="H2667" t="e">
        <f t="shared" si="323"/>
        <v>#N/A</v>
      </c>
      <c r="I2667" t="e">
        <f t="shared" si="324"/>
        <v>#N/A</v>
      </c>
      <c r="J2667" t="e">
        <f t="shared" si="325"/>
        <v>#N/A</v>
      </c>
      <c r="K2667" t="e">
        <f t="shared" si="326"/>
        <v>#N/A</v>
      </c>
      <c r="T2667" t="str">
        <f t="shared" si="321"/>
        <v/>
      </c>
    </row>
    <row r="2668" spans="2:20" x14ac:dyDescent="0.55000000000000004">
      <c r="B2668" s="15" t="str">
        <f t="shared" si="322"/>
        <v>_5</v>
      </c>
      <c r="E2668">
        <v>2</v>
      </c>
      <c r="G2668" t="e">
        <f t="shared" si="320"/>
        <v>#N/A</v>
      </c>
      <c r="H2668" t="e">
        <f t="shared" si="323"/>
        <v>#N/A</v>
      </c>
      <c r="I2668" t="e">
        <f t="shared" si="324"/>
        <v>#N/A</v>
      </c>
      <c r="J2668" t="e">
        <f t="shared" si="325"/>
        <v>#N/A</v>
      </c>
      <c r="K2668" t="e">
        <f t="shared" si="326"/>
        <v>#N/A</v>
      </c>
      <c r="T2668" t="str">
        <f t="shared" si="321"/>
        <v/>
      </c>
    </row>
    <row r="2669" spans="2:20" x14ac:dyDescent="0.55000000000000004">
      <c r="B2669" s="15" t="str">
        <f t="shared" si="322"/>
        <v>_5</v>
      </c>
      <c r="E2669">
        <v>2</v>
      </c>
      <c r="G2669" t="e">
        <f t="shared" si="320"/>
        <v>#N/A</v>
      </c>
      <c r="H2669" t="e">
        <f t="shared" si="323"/>
        <v>#N/A</v>
      </c>
      <c r="I2669" t="e">
        <f t="shared" si="324"/>
        <v>#N/A</v>
      </c>
      <c r="J2669" t="e">
        <f t="shared" si="325"/>
        <v>#N/A</v>
      </c>
      <c r="K2669" t="e">
        <f t="shared" si="326"/>
        <v>#N/A</v>
      </c>
      <c r="T2669" t="str">
        <f t="shared" si="321"/>
        <v/>
      </c>
    </row>
    <row r="2670" spans="2:20" x14ac:dyDescent="0.55000000000000004">
      <c r="B2670" s="15" t="str">
        <f t="shared" si="322"/>
        <v>_5</v>
      </c>
      <c r="E2670">
        <v>2</v>
      </c>
      <c r="G2670" t="e">
        <f t="shared" si="320"/>
        <v>#N/A</v>
      </c>
      <c r="H2670" t="e">
        <f t="shared" si="323"/>
        <v>#N/A</v>
      </c>
      <c r="I2670" t="e">
        <f t="shared" si="324"/>
        <v>#N/A</v>
      </c>
      <c r="J2670" t="e">
        <f t="shared" si="325"/>
        <v>#N/A</v>
      </c>
      <c r="K2670" t="e">
        <f t="shared" si="326"/>
        <v>#N/A</v>
      </c>
      <c r="T2670" t="str">
        <f t="shared" si="321"/>
        <v/>
      </c>
    </row>
    <row r="2671" spans="2:20" x14ac:dyDescent="0.55000000000000004">
      <c r="B2671" s="15" t="str">
        <f t="shared" si="322"/>
        <v>_5</v>
      </c>
      <c r="E2671">
        <v>2</v>
      </c>
      <c r="G2671" t="e">
        <f t="shared" si="320"/>
        <v>#N/A</v>
      </c>
      <c r="H2671" t="e">
        <f t="shared" si="323"/>
        <v>#N/A</v>
      </c>
      <c r="I2671" t="e">
        <f t="shared" si="324"/>
        <v>#N/A</v>
      </c>
      <c r="J2671" t="e">
        <f t="shared" si="325"/>
        <v>#N/A</v>
      </c>
      <c r="K2671" t="e">
        <f t="shared" si="326"/>
        <v>#N/A</v>
      </c>
      <c r="T2671" t="str">
        <f t="shared" si="321"/>
        <v/>
      </c>
    </row>
    <row r="2672" spans="2:20" x14ac:dyDescent="0.55000000000000004">
      <c r="B2672" s="15" t="str">
        <f t="shared" si="322"/>
        <v>_5</v>
      </c>
      <c r="E2672">
        <v>2</v>
      </c>
      <c r="G2672" t="e">
        <f t="shared" si="320"/>
        <v>#N/A</v>
      </c>
      <c r="H2672" t="e">
        <f t="shared" si="323"/>
        <v>#N/A</v>
      </c>
      <c r="I2672" t="e">
        <f t="shared" si="324"/>
        <v>#N/A</v>
      </c>
      <c r="J2672" t="e">
        <f t="shared" si="325"/>
        <v>#N/A</v>
      </c>
      <c r="K2672" t="e">
        <f t="shared" si="326"/>
        <v>#N/A</v>
      </c>
      <c r="T2672" t="str">
        <f t="shared" si="321"/>
        <v/>
      </c>
    </row>
    <row r="2673" spans="2:20" x14ac:dyDescent="0.55000000000000004">
      <c r="B2673" s="15" t="str">
        <f t="shared" si="322"/>
        <v>_5</v>
      </c>
      <c r="E2673">
        <v>2</v>
      </c>
      <c r="G2673" t="e">
        <f t="shared" si="320"/>
        <v>#N/A</v>
      </c>
      <c r="H2673" t="e">
        <f t="shared" si="323"/>
        <v>#N/A</v>
      </c>
      <c r="I2673" t="e">
        <f t="shared" si="324"/>
        <v>#N/A</v>
      </c>
      <c r="J2673" t="e">
        <f t="shared" si="325"/>
        <v>#N/A</v>
      </c>
      <c r="K2673" t="e">
        <f t="shared" si="326"/>
        <v>#N/A</v>
      </c>
      <c r="T2673" t="str">
        <f t="shared" si="321"/>
        <v/>
      </c>
    </row>
    <row r="2674" spans="2:20" x14ac:dyDescent="0.55000000000000004">
      <c r="B2674" s="15" t="str">
        <f t="shared" si="322"/>
        <v>_5</v>
      </c>
      <c r="E2674">
        <v>2</v>
      </c>
      <c r="G2674" t="e">
        <f t="shared" si="320"/>
        <v>#N/A</v>
      </c>
      <c r="H2674" t="e">
        <f t="shared" si="323"/>
        <v>#N/A</v>
      </c>
      <c r="I2674" t="e">
        <f t="shared" si="324"/>
        <v>#N/A</v>
      </c>
      <c r="J2674" t="e">
        <f t="shared" si="325"/>
        <v>#N/A</v>
      </c>
      <c r="K2674" t="e">
        <f t="shared" si="326"/>
        <v>#N/A</v>
      </c>
      <c r="T2674" t="str">
        <f t="shared" si="321"/>
        <v/>
      </c>
    </row>
    <row r="2675" spans="2:20" x14ac:dyDescent="0.55000000000000004">
      <c r="B2675" s="15" t="str">
        <f t="shared" si="322"/>
        <v>_5</v>
      </c>
      <c r="E2675">
        <v>2</v>
      </c>
      <c r="G2675" t="e">
        <f t="shared" si="320"/>
        <v>#N/A</v>
      </c>
      <c r="H2675" t="e">
        <f t="shared" si="323"/>
        <v>#N/A</v>
      </c>
      <c r="I2675" t="e">
        <f t="shared" si="324"/>
        <v>#N/A</v>
      </c>
      <c r="J2675" t="e">
        <f t="shared" si="325"/>
        <v>#N/A</v>
      </c>
      <c r="K2675" t="e">
        <f t="shared" si="326"/>
        <v>#N/A</v>
      </c>
      <c r="T2675" t="str">
        <f t="shared" si="321"/>
        <v/>
      </c>
    </row>
    <row r="2676" spans="2:20" x14ac:dyDescent="0.55000000000000004">
      <c r="B2676" s="15" t="str">
        <f t="shared" si="322"/>
        <v>_5</v>
      </c>
      <c r="E2676">
        <v>2</v>
      </c>
      <c r="G2676" t="e">
        <f t="shared" si="320"/>
        <v>#N/A</v>
      </c>
      <c r="H2676" t="e">
        <f t="shared" si="323"/>
        <v>#N/A</v>
      </c>
      <c r="I2676" t="e">
        <f t="shared" si="324"/>
        <v>#N/A</v>
      </c>
      <c r="J2676" t="e">
        <f t="shared" si="325"/>
        <v>#N/A</v>
      </c>
      <c r="K2676" t="e">
        <f t="shared" si="326"/>
        <v>#N/A</v>
      </c>
      <c r="T2676" t="str">
        <f t="shared" si="321"/>
        <v/>
      </c>
    </row>
    <row r="2677" spans="2:20" x14ac:dyDescent="0.55000000000000004">
      <c r="B2677" s="15" t="str">
        <f t="shared" si="322"/>
        <v>_5</v>
      </c>
      <c r="E2677">
        <v>2</v>
      </c>
      <c r="G2677" t="e">
        <f t="shared" si="320"/>
        <v>#N/A</v>
      </c>
      <c r="H2677" t="e">
        <f t="shared" si="323"/>
        <v>#N/A</v>
      </c>
      <c r="I2677" t="e">
        <f t="shared" si="324"/>
        <v>#N/A</v>
      </c>
      <c r="J2677" t="e">
        <f t="shared" si="325"/>
        <v>#N/A</v>
      </c>
      <c r="K2677" t="e">
        <f t="shared" si="326"/>
        <v>#N/A</v>
      </c>
      <c r="T2677" t="str">
        <f t="shared" si="321"/>
        <v/>
      </c>
    </row>
    <row r="2678" spans="2:20" x14ac:dyDescent="0.55000000000000004">
      <c r="B2678" s="15" t="str">
        <f t="shared" si="322"/>
        <v>_5</v>
      </c>
      <c r="E2678">
        <v>2</v>
      </c>
      <c r="G2678" t="e">
        <f t="shared" ref="G2678:G2741" si="327">VLOOKUP($F2678, $W$1:$AB$10, 2, FALSE)</f>
        <v>#N/A</v>
      </c>
      <c r="H2678" t="e">
        <f t="shared" si="323"/>
        <v>#N/A</v>
      </c>
      <c r="I2678" t="e">
        <f t="shared" si="324"/>
        <v>#N/A</v>
      </c>
      <c r="J2678" t="e">
        <f t="shared" si="325"/>
        <v>#N/A</v>
      </c>
      <c r="K2678" t="e">
        <f t="shared" si="326"/>
        <v>#N/A</v>
      </c>
      <c r="T2678" t="str">
        <f t="shared" si="321"/>
        <v/>
      </c>
    </row>
    <row r="2679" spans="2:20" x14ac:dyDescent="0.55000000000000004">
      <c r="B2679" s="15" t="str">
        <f t="shared" si="322"/>
        <v>_5</v>
      </c>
      <c r="E2679">
        <v>2</v>
      </c>
      <c r="G2679" t="e">
        <f t="shared" si="327"/>
        <v>#N/A</v>
      </c>
      <c r="H2679" t="e">
        <f t="shared" si="323"/>
        <v>#N/A</v>
      </c>
      <c r="I2679" t="e">
        <f t="shared" si="324"/>
        <v>#N/A</v>
      </c>
      <c r="J2679" t="e">
        <f t="shared" si="325"/>
        <v>#N/A</v>
      </c>
      <c r="K2679" t="e">
        <f t="shared" si="326"/>
        <v>#N/A</v>
      </c>
      <c r="T2679" t="str">
        <f t="shared" si="321"/>
        <v/>
      </c>
    </row>
    <row r="2680" spans="2:20" x14ac:dyDescent="0.55000000000000004">
      <c r="B2680" s="15" t="str">
        <f t="shared" si="322"/>
        <v>_5</v>
      </c>
      <c r="E2680">
        <v>2</v>
      </c>
      <c r="G2680" t="e">
        <f t="shared" si="327"/>
        <v>#N/A</v>
      </c>
      <c r="H2680" t="e">
        <f t="shared" si="323"/>
        <v>#N/A</v>
      </c>
      <c r="I2680" t="e">
        <f t="shared" si="324"/>
        <v>#N/A</v>
      </c>
      <c r="J2680" t="e">
        <f t="shared" si="325"/>
        <v>#N/A</v>
      </c>
      <c r="K2680" t="e">
        <f t="shared" si="326"/>
        <v>#N/A</v>
      </c>
      <c r="T2680" t="str">
        <f t="shared" si="321"/>
        <v/>
      </c>
    </row>
    <row r="2681" spans="2:20" x14ac:dyDescent="0.55000000000000004">
      <c r="B2681" s="15" t="str">
        <f t="shared" si="322"/>
        <v>_5</v>
      </c>
      <c r="E2681">
        <v>2</v>
      </c>
      <c r="G2681" t="e">
        <f t="shared" si="327"/>
        <v>#N/A</v>
      </c>
      <c r="H2681" t="e">
        <f t="shared" si="323"/>
        <v>#N/A</v>
      </c>
      <c r="I2681" t="e">
        <f t="shared" si="324"/>
        <v>#N/A</v>
      </c>
      <c r="J2681" t="e">
        <f t="shared" si="325"/>
        <v>#N/A</v>
      </c>
      <c r="K2681" t="e">
        <f t="shared" si="326"/>
        <v>#N/A</v>
      </c>
      <c r="T2681" t="str">
        <f t="shared" si="321"/>
        <v/>
      </c>
    </row>
    <row r="2682" spans="2:20" x14ac:dyDescent="0.55000000000000004">
      <c r="B2682" s="15" t="str">
        <f t="shared" si="322"/>
        <v>_5</v>
      </c>
      <c r="E2682">
        <v>2</v>
      </c>
      <c r="G2682" t="e">
        <f t="shared" si="327"/>
        <v>#N/A</v>
      </c>
      <c r="H2682" t="e">
        <f t="shared" si="323"/>
        <v>#N/A</v>
      </c>
      <c r="I2682" t="e">
        <f t="shared" si="324"/>
        <v>#N/A</v>
      </c>
      <c r="J2682" t="e">
        <f t="shared" si="325"/>
        <v>#N/A</v>
      </c>
      <c r="K2682" t="e">
        <f t="shared" si="326"/>
        <v>#N/A</v>
      </c>
      <c r="T2682" t="str">
        <f t="shared" si="321"/>
        <v/>
      </c>
    </row>
    <row r="2683" spans="2:20" x14ac:dyDescent="0.55000000000000004">
      <c r="B2683" s="15" t="str">
        <f t="shared" si="322"/>
        <v>_5</v>
      </c>
      <c r="E2683">
        <v>2</v>
      </c>
      <c r="G2683" t="e">
        <f t="shared" si="327"/>
        <v>#N/A</v>
      </c>
      <c r="H2683" t="e">
        <f t="shared" si="323"/>
        <v>#N/A</v>
      </c>
      <c r="I2683" t="e">
        <f t="shared" si="324"/>
        <v>#N/A</v>
      </c>
      <c r="J2683" t="e">
        <f t="shared" si="325"/>
        <v>#N/A</v>
      </c>
      <c r="K2683" t="e">
        <f t="shared" si="326"/>
        <v>#N/A</v>
      </c>
      <c r="T2683" t="str">
        <f t="shared" si="321"/>
        <v/>
      </c>
    </row>
    <row r="2684" spans="2:20" x14ac:dyDescent="0.55000000000000004">
      <c r="B2684" s="15" t="str">
        <f t="shared" si="322"/>
        <v>_5</v>
      </c>
      <c r="E2684">
        <v>2</v>
      </c>
      <c r="G2684" t="e">
        <f t="shared" si="327"/>
        <v>#N/A</v>
      </c>
      <c r="H2684" t="e">
        <f t="shared" si="323"/>
        <v>#N/A</v>
      </c>
      <c r="I2684" t="e">
        <f t="shared" si="324"/>
        <v>#N/A</v>
      </c>
      <c r="J2684" t="e">
        <f t="shared" si="325"/>
        <v>#N/A</v>
      </c>
      <c r="K2684" t="e">
        <f t="shared" si="326"/>
        <v>#N/A</v>
      </c>
      <c r="T2684" t="str">
        <f t="shared" si="321"/>
        <v/>
      </c>
    </row>
    <row r="2685" spans="2:20" x14ac:dyDescent="0.55000000000000004">
      <c r="B2685" s="15" t="str">
        <f t="shared" si="322"/>
        <v>_5</v>
      </c>
      <c r="E2685">
        <v>2</v>
      </c>
      <c r="G2685" t="e">
        <f t="shared" si="327"/>
        <v>#N/A</v>
      </c>
      <c r="H2685" t="e">
        <f t="shared" si="323"/>
        <v>#N/A</v>
      </c>
      <c r="I2685" t="e">
        <f t="shared" si="324"/>
        <v>#N/A</v>
      </c>
      <c r="J2685" t="e">
        <f t="shared" si="325"/>
        <v>#N/A</v>
      </c>
      <c r="K2685" t="e">
        <f t="shared" si="326"/>
        <v>#N/A</v>
      </c>
      <c r="T2685" t="str">
        <f t="shared" si="321"/>
        <v/>
      </c>
    </row>
    <row r="2686" spans="2:20" x14ac:dyDescent="0.55000000000000004">
      <c r="B2686" s="15" t="str">
        <f t="shared" si="322"/>
        <v>_5</v>
      </c>
      <c r="E2686">
        <v>2</v>
      </c>
      <c r="G2686" t="e">
        <f t="shared" si="327"/>
        <v>#N/A</v>
      </c>
      <c r="H2686" t="e">
        <f t="shared" si="323"/>
        <v>#N/A</v>
      </c>
      <c r="I2686" t="e">
        <f t="shared" si="324"/>
        <v>#N/A</v>
      </c>
      <c r="J2686" t="e">
        <f t="shared" si="325"/>
        <v>#N/A</v>
      </c>
      <c r="K2686" t="e">
        <f t="shared" si="326"/>
        <v>#N/A</v>
      </c>
      <c r="T2686" t="str">
        <f t="shared" si="321"/>
        <v/>
      </c>
    </row>
    <row r="2687" spans="2:20" x14ac:dyDescent="0.55000000000000004">
      <c r="B2687" s="15" t="str">
        <f t="shared" si="322"/>
        <v>_5</v>
      </c>
      <c r="E2687">
        <v>2</v>
      </c>
      <c r="G2687" t="e">
        <f t="shared" si="327"/>
        <v>#N/A</v>
      </c>
      <c r="H2687" t="e">
        <f t="shared" si="323"/>
        <v>#N/A</v>
      </c>
      <c r="I2687" t="e">
        <f t="shared" si="324"/>
        <v>#N/A</v>
      </c>
      <c r="J2687" t="e">
        <f t="shared" si="325"/>
        <v>#N/A</v>
      </c>
      <c r="K2687" t="e">
        <f t="shared" si="326"/>
        <v>#N/A</v>
      </c>
      <c r="T2687" t="str">
        <f t="shared" si="321"/>
        <v/>
      </c>
    </row>
    <row r="2688" spans="2:20" x14ac:dyDescent="0.55000000000000004">
      <c r="B2688" s="15" t="str">
        <f t="shared" si="322"/>
        <v>_5</v>
      </c>
      <c r="E2688">
        <v>2</v>
      </c>
      <c r="G2688" t="e">
        <f t="shared" si="327"/>
        <v>#N/A</v>
      </c>
      <c r="H2688" t="e">
        <f t="shared" si="323"/>
        <v>#N/A</v>
      </c>
      <c r="I2688" t="e">
        <f t="shared" si="324"/>
        <v>#N/A</v>
      </c>
      <c r="J2688" t="e">
        <f t="shared" si="325"/>
        <v>#N/A</v>
      </c>
      <c r="K2688" t="e">
        <f t="shared" si="326"/>
        <v>#N/A</v>
      </c>
      <c r="T2688" t="str">
        <f t="shared" si="321"/>
        <v/>
      </c>
    </row>
    <row r="2689" spans="2:20" x14ac:dyDescent="0.55000000000000004">
      <c r="B2689" s="15" t="str">
        <f t="shared" si="322"/>
        <v>_5</v>
      </c>
      <c r="E2689">
        <v>2</v>
      </c>
      <c r="G2689" t="e">
        <f t="shared" si="327"/>
        <v>#N/A</v>
      </c>
      <c r="H2689" t="e">
        <f t="shared" si="323"/>
        <v>#N/A</v>
      </c>
      <c r="I2689" t="e">
        <f t="shared" si="324"/>
        <v>#N/A</v>
      </c>
      <c r="J2689" t="e">
        <f t="shared" si="325"/>
        <v>#N/A</v>
      </c>
      <c r="K2689" t="e">
        <f t="shared" si="326"/>
        <v>#N/A</v>
      </c>
      <c r="T2689" t="str">
        <f t="shared" si="321"/>
        <v/>
      </c>
    </row>
    <row r="2690" spans="2:20" x14ac:dyDescent="0.55000000000000004">
      <c r="B2690" s="15" t="str">
        <f t="shared" si="322"/>
        <v>_5</v>
      </c>
      <c r="E2690">
        <v>2</v>
      </c>
      <c r="G2690" t="e">
        <f t="shared" si="327"/>
        <v>#N/A</v>
      </c>
      <c r="H2690" t="e">
        <f t="shared" si="323"/>
        <v>#N/A</v>
      </c>
      <c r="I2690" t="e">
        <f t="shared" si="324"/>
        <v>#N/A</v>
      </c>
      <c r="J2690" t="e">
        <f t="shared" si="325"/>
        <v>#N/A</v>
      </c>
      <c r="K2690" t="e">
        <f t="shared" si="326"/>
        <v>#N/A</v>
      </c>
      <c r="T2690" t="str">
        <f t="shared" si="321"/>
        <v/>
      </c>
    </row>
    <row r="2691" spans="2:20" x14ac:dyDescent="0.55000000000000004">
      <c r="B2691" s="15" t="str">
        <f t="shared" si="322"/>
        <v>_5</v>
      </c>
      <c r="E2691">
        <v>2</v>
      </c>
      <c r="G2691" t="e">
        <f t="shared" si="327"/>
        <v>#N/A</v>
      </c>
      <c r="H2691" t="e">
        <f t="shared" si="323"/>
        <v>#N/A</v>
      </c>
      <c r="I2691" t="e">
        <f t="shared" si="324"/>
        <v>#N/A</v>
      </c>
      <c r="J2691" t="e">
        <f t="shared" si="325"/>
        <v>#N/A</v>
      </c>
      <c r="K2691" t="e">
        <f t="shared" si="326"/>
        <v>#N/A</v>
      </c>
      <c r="T2691" t="str">
        <f t="shared" si="321"/>
        <v/>
      </c>
    </row>
    <row r="2692" spans="2:20" x14ac:dyDescent="0.55000000000000004">
      <c r="B2692" s="15" t="str">
        <f t="shared" si="322"/>
        <v>_5</v>
      </c>
      <c r="E2692">
        <v>2</v>
      </c>
      <c r="G2692" t="e">
        <f t="shared" si="327"/>
        <v>#N/A</v>
      </c>
      <c r="H2692" t="e">
        <f t="shared" si="323"/>
        <v>#N/A</v>
      </c>
      <c r="I2692" t="e">
        <f t="shared" si="324"/>
        <v>#N/A</v>
      </c>
      <c r="J2692" t="e">
        <f t="shared" si="325"/>
        <v>#N/A</v>
      </c>
      <c r="K2692" t="e">
        <f t="shared" si="326"/>
        <v>#N/A</v>
      </c>
      <c r="T2692" t="str">
        <f t="shared" ref="T2692:T2755" si="328">IF(S2692&lt;&gt;"", S2692*236.588, "")</f>
        <v/>
      </c>
    </row>
    <row r="2693" spans="2:20" x14ac:dyDescent="0.55000000000000004">
      <c r="B2693" s="15" t="str">
        <f t="shared" si="322"/>
        <v>_5</v>
      </c>
      <c r="E2693">
        <v>2</v>
      </c>
      <c r="G2693" t="e">
        <f t="shared" si="327"/>
        <v>#N/A</v>
      </c>
      <c r="H2693" t="e">
        <f t="shared" si="323"/>
        <v>#N/A</v>
      </c>
      <c r="I2693" t="e">
        <f t="shared" si="324"/>
        <v>#N/A</v>
      </c>
      <c r="J2693" t="e">
        <f t="shared" si="325"/>
        <v>#N/A</v>
      </c>
      <c r="K2693" t="e">
        <f t="shared" si="326"/>
        <v>#N/A</v>
      </c>
      <c r="T2693" t="str">
        <f t="shared" si="328"/>
        <v/>
      </c>
    </row>
    <row r="2694" spans="2:20" x14ac:dyDescent="0.55000000000000004">
      <c r="B2694" s="15" t="str">
        <f t="shared" si="322"/>
        <v>_5</v>
      </c>
      <c r="E2694">
        <v>2</v>
      </c>
      <c r="G2694" t="e">
        <f t="shared" si="327"/>
        <v>#N/A</v>
      </c>
      <c r="H2694" t="e">
        <f t="shared" si="323"/>
        <v>#N/A</v>
      </c>
      <c r="I2694" t="e">
        <f t="shared" si="324"/>
        <v>#N/A</v>
      </c>
      <c r="J2694" t="e">
        <f t="shared" si="325"/>
        <v>#N/A</v>
      </c>
      <c r="K2694" t="e">
        <f t="shared" si="326"/>
        <v>#N/A</v>
      </c>
      <c r="T2694" t="str">
        <f t="shared" si="328"/>
        <v/>
      </c>
    </row>
    <row r="2695" spans="2:20" x14ac:dyDescent="0.55000000000000004">
      <c r="B2695" s="15" t="str">
        <f t="shared" si="322"/>
        <v>_5</v>
      </c>
      <c r="E2695">
        <v>2</v>
      </c>
      <c r="G2695" t="e">
        <f t="shared" si="327"/>
        <v>#N/A</v>
      </c>
      <c r="H2695" t="e">
        <f t="shared" si="323"/>
        <v>#N/A</v>
      </c>
      <c r="I2695" t="e">
        <f t="shared" si="324"/>
        <v>#N/A</v>
      </c>
      <c r="J2695" t="e">
        <f t="shared" si="325"/>
        <v>#N/A</v>
      </c>
      <c r="K2695" t="e">
        <f t="shared" si="326"/>
        <v>#N/A</v>
      </c>
      <c r="T2695" t="str">
        <f t="shared" si="328"/>
        <v/>
      </c>
    </row>
    <row r="2696" spans="2:20" x14ac:dyDescent="0.55000000000000004">
      <c r="B2696" s="15" t="str">
        <f t="shared" ref="B2696:B2759" si="329">A2696 &amp; "_5"</f>
        <v>_5</v>
      </c>
      <c r="E2696">
        <v>2</v>
      </c>
      <c r="G2696" t="e">
        <f t="shared" si="327"/>
        <v>#N/A</v>
      </c>
      <c r="H2696" t="e">
        <f t="shared" si="323"/>
        <v>#N/A</v>
      </c>
      <c r="I2696" t="e">
        <f t="shared" si="324"/>
        <v>#N/A</v>
      </c>
      <c r="J2696" t="e">
        <f t="shared" si="325"/>
        <v>#N/A</v>
      </c>
      <c r="K2696" t="e">
        <f t="shared" si="326"/>
        <v>#N/A</v>
      </c>
      <c r="T2696" t="str">
        <f t="shared" si="328"/>
        <v/>
      </c>
    </row>
    <row r="2697" spans="2:20" x14ac:dyDescent="0.55000000000000004">
      <c r="B2697" s="15" t="str">
        <f t="shared" si="329"/>
        <v>_5</v>
      </c>
      <c r="E2697">
        <v>2</v>
      </c>
      <c r="G2697" t="e">
        <f t="shared" si="327"/>
        <v>#N/A</v>
      </c>
      <c r="H2697" t="e">
        <f t="shared" si="323"/>
        <v>#N/A</v>
      </c>
      <c r="I2697" t="e">
        <f t="shared" si="324"/>
        <v>#N/A</v>
      </c>
      <c r="J2697" t="e">
        <f t="shared" si="325"/>
        <v>#N/A</v>
      </c>
      <c r="K2697" t="e">
        <f t="shared" si="326"/>
        <v>#N/A</v>
      </c>
      <c r="T2697" t="str">
        <f t="shared" si="328"/>
        <v/>
      </c>
    </row>
    <row r="2698" spans="2:20" x14ac:dyDescent="0.55000000000000004">
      <c r="B2698" s="15" t="str">
        <f t="shared" si="329"/>
        <v>_5</v>
      </c>
      <c r="E2698">
        <v>2</v>
      </c>
      <c r="G2698" t="e">
        <f t="shared" si="327"/>
        <v>#N/A</v>
      </c>
      <c r="H2698" t="e">
        <f t="shared" si="323"/>
        <v>#N/A</v>
      </c>
      <c r="I2698" t="e">
        <f t="shared" si="324"/>
        <v>#N/A</v>
      </c>
      <c r="J2698" t="e">
        <f t="shared" si="325"/>
        <v>#N/A</v>
      </c>
      <c r="K2698" t="e">
        <f t="shared" si="326"/>
        <v>#N/A</v>
      </c>
      <c r="T2698" t="str">
        <f t="shared" si="328"/>
        <v/>
      </c>
    </row>
    <row r="2699" spans="2:20" x14ac:dyDescent="0.55000000000000004">
      <c r="B2699" s="15" t="str">
        <f t="shared" si="329"/>
        <v>_5</v>
      </c>
      <c r="E2699">
        <v>2</v>
      </c>
      <c r="G2699" t="e">
        <f t="shared" si="327"/>
        <v>#N/A</v>
      </c>
      <c r="H2699" t="e">
        <f t="shared" si="323"/>
        <v>#N/A</v>
      </c>
      <c r="I2699" t="e">
        <f t="shared" si="324"/>
        <v>#N/A</v>
      </c>
      <c r="J2699" t="e">
        <f t="shared" si="325"/>
        <v>#N/A</v>
      </c>
      <c r="K2699" t="e">
        <f t="shared" si="326"/>
        <v>#N/A</v>
      </c>
      <c r="T2699" t="str">
        <f t="shared" si="328"/>
        <v/>
      </c>
    </row>
    <row r="2700" spans="2:20" x14ac:dyDescent="0.55000000000000004">
      <c r="B2700" s="15" t="str">
        <f t="shared" si="329"/>
        <v>_5</v>
      </c>
      <c r="E2700">
        <v>2</v>
      </c>
      <c r="G2700" t="e">
        <f t="shared" si="327"/>
        <v>#N/A</v>
      </c>
      <c r="H2700" t="e">
        <f t="shared" si="323"/>
        <v>#N/A</v>
      </c>
      <c r="I2700" t="e">
        <f t="shared" si="324"/>
        <v>#N/A</v>
      </c>
      <c r="J2700" t="e">
        <f t="shared" si="325"/>
        <v>#N/A</v>
      </c>
      <c r="K2700" t="e">
        <f t="shared" si="326"/>
        <v>#N/A</v>
      </c>
      <c r="T2700" t="str">
        <f t="shared" si="328"/>
        <v/>
      </c>
    </row>
    <row r="2701" spans="2:20" x14ac:dyDescent="0.55000000000000004">
      <c r="B2701" s="15" t="str">
        <f t="shared" si="329"/>
        <v>_5</v>
      </c>
      <c r="E2701">
        <v>2</v>
      </c>
      <c r="G2701" t="e">
        <f t="shared" si="327"/>
        <v>#N/A</v>
      </c>
      <c r="H2701" t="e">
        <f t="shared" si="323"/>
        <v>#N/A</v>
      </c>
      <c r="I2701" t="e">
        <f t="shared" si="324"/>
        <v>#N/A</v>
      </c>
      <c r="J2701" t="e">
        <f t="shared" si="325"/>
        <v>#N/A</v>
      </c>
      <c r="K2701" t="e">
        <f t="shared" si="326"/>
        <v>#N/A</v>
      </c>
      <c r="T2701" t="str">
        <f t="shared" si="328"/>
        <v/>
      </c>
    </row>
    <row r="2702" spans="2:20" x14ac:dyDescent="0.55000000000000004">
      <c r="B2702" s="15" t="str">
        <f t="shared" si="329"/>
        <v>_5</v>
      </c>
      <c r="E2702">
        <v>2</v>
      </c>
      <c r="G2702" t="e">
        <f t="shared" si="327"/>
        <v>#N/A</v>
      </c>
      <c r="H2702" t="e">
        <f t="shared" si="323"/>
        <v>#N/A</v>
      </c>
      <c r="I2702" t="e">
        <f t="shared" si="324"/>
        <v>#N/A</v>
      </c>
      <c r="J2702" t="e">
        <f t="shared" si="325"/>
        <v>#N/A</v>
      </c>
      <c r="K2702" t="e">
        <f t="shared" si="326"/>
        <v>#N/A</v>
      </c>
      <c r="T2702" t="str">
        <f t="shared" si="328"/>
        <v/>
      </c>
    </row>
    <row r="2703" spans="2:20" x14ac:dyDescent="0.55000000000000004">
      <c r="B2703" s="15" t="str">
        <f t="shared" si="329"/>
        <v>_5</v>
      </c>
      <c r="E2703">
        <v>2</v>
      </c>
      <c r="G2703" t="e">
        <f t="shared" si="327"/>
        <v>#N/A</v>
      </c>
      <c r="H2703" t="e">
        <f t="shared" si="323"/>
        <v>#N/A</v>
      </c>
      <c r="I2703" t="e">
        <f t="shared" si="324"/>
        <v>#N/A</v>
      </c>
      <c r="J2703" t="e">
        <f t="shared" si="325"/>
        <v>#N/A</v>
      </c>
      <c r="K2703" t="e">
        <f t="shared" si="326"/>
        <v>#N/A</v>
      </c>
      <c r="T2703" t="str">
        <f t="shared" si="328"/>
        <v/>
      </c>
    </row>
    <row r="2704" spans="2:20" x14ac:dyDescent="0.55000000000000004">
      <c r="B2704" s="15" t="str">
        <f t="shared" si="329"/>
        <v>_5</v>
      </c>
      <c r="E2704">
        <v>2</v>
      </c>
      <c r="G2704" t="e">
        <f t="shared" si="327"/>
        <v>#N/A</v>
      </c>
      <c r="H2704" t="e">
        <f t="shared" si="323"/>
        <v>#N/A</v>
      </c>
      <c r="I2704" t="e">
        <f t="shared" si="324"/>
        <v>#N/A</v>
      </c>
      <c r="J2704" t="e">
        <f t="shared" si="325"/>
        <v>#N/A</v>
      </c>
      <c r="K2704" t="e">
        <f t="shared" si="326"/>
        <v>#N/A</v>
      </c>
      <c r="T2704" t="str">
        <f t="shared" si="328"/>
        <v/>
      </c>
    </row>
    <row r="2705" spans="2:20" x14ac:dyDescent="0.55000000000000004">
      <c r="B2705" s="15" t="str">
        <f t="shared" si="329"/>
        <v>_5</v>
      </c>
      <c r="E2705">
        <v>2</v>
      </c>
      <c r="G2705" t="e">
        <f t="shared" si="327"/>
        <v>#N/A</v>
      </c>
      <c r="H2705" t="e">
        <f t="shared" ref="H2705:H2768" si="330">VLOOKUP($F2705, $W$1:$AB$10, 3, FALSE)</f>
        <v>#N/A</v>
      </c>
      <c r="I2705" t="e">
        <f t="shared" ref="I2705:I2768" si="331">VLOOKUP($F2705, $W$1:$AB$10, 4, FALSE)</f>
        <v>#N/A</v>
      </c>
      <c r="J2705" t="e">
        <f t="shared" ref="J2705:J2768" si="332">VLOOKUP($F2705, $W$1:$AC$10, 5, FALSE)</f>
        <v>#N/A</v>
      </c>
      <c r="K2705" t="e">
        <f t="shared" ref="K2705:K2768" si="333">VLOOKUP($F2705, $W$1:$AB$10, 6, FALSE)</f>
        <v>#N/A</v>
      </c>
      <c r="T2705" t="str">
        <f t="shared" si="328"/>
        <v/>
      </c>
    </row>
    <row r="2706" spans="2:20" x14ac:dyDescent="0.55000000000000004">
      <c r="B2706" s="15" t="str">
        <f t="shared" si="329"/>
        <v>_5</v>
      </c>
      <c r="E2706">
        <v>2</v>
      </c>
      <c r="G2706" t="e">
        <f t="shared" si="327"/>
        <v>#N/A</v>
      </c>
      <c r="H2706" t="e">
        <f t="shared" si="330"/>
        <v>#N/A</v>
      </c>
      <c r="I2706" t="e">
        <f t="shared" si="331"/>
        <v>#N/A</v>
      </c>
      <c r="J2706" t="e">
        <f t="shared" si="332"/>
        <v>#N/A</v>
      </c>
      <c r="K2706" t="e">
        <f t="shared" si="333"/>
        <v>#N/A</v>
      </c>
      <c r="T2706" t="str">
        <f t="shared" si="328"/>
        <v/>
      </c>
    </row>
    <row r="2707" spans="2:20" x14ac:dyDescent="0.55000000000000004">
      <c r="B2707" s="15" t="str">
        <f t="shared" si="329"/>
        <v>_5</v>
      </c>
      <c r="E2707">
        <v>2</v>
      </c>
      <c r="G2707" t="e">
        <f t="shared" si="327"/>
        <v>#N/A</v>
      </c>
      <c r="H2707" t="e">
        <f t="shared" si="330"/>
        <v>#N/A</v>
      </c>
      <c r="I2707" t="e">
        <f t="shared" si="331"/>
        <v>#N/A</v>
      </c>
      <c r="J2707" t="e">
        <f t="shared" si="332"/>
        <v>#N/A</v>
      </c>
      <c r="K2707" t="e">
        <f t="shared" si="333"/>
        <v>#N/A</v>
      </c>
      <c r="T2707" t="str">
        <f t="shared" si="328"/>
        <v/>
      </c>
    </row>
    <row r="2708" spans="2:20" x14ac:dyDescent="0.55000000000000004">
      <c r="B2708" s="15" t="str">
        <f t="shared" si="329"/>
        <v>_5</v>
      </c>
      <c r="E2708">
        <v>2</v>
      </c>
      <c r="G2708" t="e">
        <f t="shared" si="327"/>
        <v>#N/A</v>
      </c>
      <c r="H2708" t="e">
        <f t="shared" si="330"/>
        <v>#N/A</v>
      </c>
      <c r="I2708" t="e">
        <f t="shared" si="331"/>
        <v>#N/A</v>
      </c>
      <c r="J2708" t="e">
        <f t="shared" si="332"/>
        <v>#N/A</v>
      </c>
      <c r="K2708" t="e">
        <f t="shared" si="333"/>
        <v>#N/A</v>
      </c>
      <c r="T2708" t="str">
        <f t="shared" si="328"/>
        <v/>
      </c>
    </row>
    <row r="2709" spans="2:20" x14ac:dyDescent="0.55000000000000004">
      <c r="B2709" s="15" t="str">
        <f t="shared" si="329"/>
        <v>_5</v>
      </c>
      <c r="E2709">
        <v>2</v>
      </c>
      <c r="G2709" t="e">
        <f t="shared" si="327"/>
        <v>#N/A</v>
      </c>
      <c r="H2709" t="e">
        <f t="shared" si="330"/>
        <v>#N/A</v>
      </c>
      <c r="I2709" t="e">
        <f t="shared" si="331"/>
        <v>#N/A</v>
      </c>
      <c r="J2709" t="e">
        <f t="shared" si="332"/>
        <v>#N/A</v>
      </c>
      <c r="K2709" t="e">
        <f t="shared" si="333"/>
        <v>#N/A</v>
      </c>
      <c r="T2709" t="str">
        <f t="shared" si="328"/>
        <v/>
      </c>
    </row>
    <row r="2710" spans="2:20" x14ac:dyDescent="0.55000000000000004">
      <c r="B2710" s="15" t="str">
        <f t="shared" si="329"/>
        <v>_5</v>
      </c>
      <c r="E2710">
        <v>2</v>
      </c>
      <c r="G2710" t="e">
        <f t="shared" si="327"/>
        <v>#N/A</v>
      </c>
      <c r="H2710" t="e">
        <f t="shared" si="330"/>
        <v>#N/A</v>
      </c>
      <c r="I2710" t="e">
        <f t="shared" si="331"/>
        <v>#N/A</v>
      </c>
      <c r="J2710" t="e">
        <f t="shared" si="332"/>
        <v>#N/A</v>
      </c>
      <c r="K2710" t="e">
        <f t="shared" si="333"/>
        <v>#N/A</v>
      </c>
      <c r="T2710" t="str">
        <f t="shared" si="328"/>
        <v/>
      </c>
    </row>
    <row r="2711" spans="2:20" x14ac:dyDescent="0.55000000000000004">
      <c r="B2711" s="15" t="str">
        <f t="shared" si="329"/>
        <v>_5</v>
      </c>
      <c r="E2711">
        <v>2</v>
      </c>
      <c r="G2711" t="e">
        <f t="shared" si="327"/>
        <v>#N/A</v>
      </c>
      <c r="H2711" t="e">
        <f t="shared" si="330"/>
        <v>#N/A</v>
      </c>
      <c r="I2711" t="e">
        <f t="shared" si="331"/>
        <v>#N/A</v>
      </c>
      <c r="J2711" t="e">
        <f t="shared" si="332"/>
        <v>#N/A</v>
      </c>
      <c r="K2711" t="e">
        <f t="shared" si="333"/>
        <v>#N/A</v>
      </c>
      <c r="T2711" t="str">
        <f t="shared" si="328"/>
        <v/>
      </c>
    </row>
    <row r="2712" spans="2:20" x14ac:dyDescent="0.55000000000000004">
      <c r="B2712" s="15" t="str">
        <f t="shared" si="329"/>
        <v>_5</v>
      </c>
      <c r="E2712">
        <v>2</v>
      </c>
      <c r="G2712" t="e">
        <f t="shared" si="327"/>
        <v>#N/A</v>
      </c>
      <c r="H2712" t="e">
        <f t="shared" si="330"/>
        <v>#N/A</v>
      </c>
      <c r="I2712" t="e">
        <f t="shared" si="331"/>
        <v>#N/A</v>
      </c>
      <c r="J2712" t="e">
        <f t="shared" si="332"/>
        <v>#N/A</v>
      </c>
      <c r="K2712" t="e">
        <f t="shared" si="333"/>
        <v>#N/A</v>
      </c>
      <c r="T2712" t="str">
        <f t="shared" si="328"/>
        <v/>
      </c>
    </row>
    <row r="2713" spans="2:20" x14ac:dyDescent="0.55000000000000004">
      <c r="B2713" s="15" t="str">
        <f t="shared" si="329"/>
        <v>_5</v>
      </c>
      <c r="E2713">
        <v>2</v>
      </c>
      <c r="G2713" t="e">
        <f t="shared" si="327"/>
        <v>#N/A</v>
      </c>
      <c r="H2713" t="e">
        <f t="shared" si="330"/>
        <v>#N/A</v>
      </c>
      <c r="I2713" t="e">
        <f t="shared" si="331"/>
        <v>#N/A</v>
      </c>
      <c r="J2713" t="e">
        <f t="shared" si="332"/>
        <v>#N/A</v>
      </c>
      <c r="K2713" t="e">
        <f t="shared" si="333"/>
        <v>#N/A</v>
      </c>
      <c r="T2713" t="str">
        <f t="shared" si="328"/>
        <v/>
      </c>
    </row>
    <row r="2714" spans="2:20" x14ac:dyDescent="0.55000000000000004">
      <c r="B2714" s="15" t="str">
        <f t="shared" si="329"/>
        <v>_5</v>
      </c>
      <c r="E2714">
        <v>2</v>
      </c>
      <c r="G2714" t="e">
        <f t="shared" si="327"/>
        <v>#N/A</v>
      </c>
      <c r="H2714" t="e">
        <f t="shared" si="330"/>
        <v>#N/A</v>
      </c>
      <c r="I2714" t="e">
        <f t="shared" si="331"/>
        <v>#N/A</v>
      </c>
      <c r="J2714" t="e">
        <f t="shared" si="332"/>
        <v>#N/A</v>
      </c>
      <c r="K2714" t="e">
        <f t="shared" si="333"/>
        <v>#N/A</v>
      </c>
      <c r="T2714" t="str">
        <f t="shared" si="328"/>
        <v/>
      </c>
    </row>
    <row r="2715" spans="2:20" x14ac:dyDescent="0.55000000000000004">
      <c r="B2715" s="15" t="str">
        <f t="shared" si="329"/>
        <v>_5</v>
      </c>
      <c r="E2715">
        <v>2</v>
      </c>
      <c r="G2715" t="e">
        <f t="shared" si="327"/>
        <v>#N/A</v>
      </c>
      <c r="H2715" t="e">
        <f t="shared" si="330"/>
        <v>#N/A</v>
      </c>
      <c r="I2715" t="e">
        <f t="shared" si="331"/>
        <v>#N/A</v>
      </c>
      <c r="J2715" t="e">
        <f t="shared" si="332"/>
        <v>#N/A</v>
      </c>
      <c r="K2715" t="e">
        <f t="shared" si="333"/>
        <v>#N/A</v>
      </c>
      <c r="T2715" t="str">
        <f t="shared" si="328"/>
        <v/>
      </c>
    </row>
    <row r="2716" spans="2:20" x14ac:dyDescent="0.55000000000000004">
      <c r="B2716" s="15" t="str">
        <f t="shared" si="329"/>
        <v>_5</v>
      </c>
      <c r="E2716">
        <v>2</v>
      </c>
      <c r="G2716" t="e">
        <f t="shared" si="327"/>
        <v>#N/A</v>
      </c>
      <c r="H2716" t="e">
        <f t="shared" si="330"/>
        <v>#N/A</v>
      </c>
      <c r="I2716" t="e">
        <f t="shared" si="331"/>
        <v>#N/A</v>
      </c>
      <c r="J2716" t="e">
        <f t="shared" si="332"/>
        <v>#N/A</v>
      </c>
      <c r="K2716" t="e">
        <f t="shared" si="333"/>
        <v>#N/A</v>
      </c>
      <c r="T2716" t="str">
        <f t="shared" si="328"/>
        <v/>
      </c>
    </row>
    <row r="2717" spans="2:20" x14ac:dyDescent="0.55000000000000004">
      <c r="B2717" s="15" t="str">
        <f t="shared" si="329"/>
        <v>_5</v>
      </c>
      <c r="E2717">
        <v>2</v>
      </c>
      <c r="G2717" t="e">
        <f t="shared" si="327"/>
        <v>#N/A</v>
      </c>
      <c r="H2717" t="e">
        <f t="shared" si="330"/>
        <v>#N/A</v>
      </c>
      <c r="I2717" t="e">
        <f t="shared" si="331"/>
        <v>#N/A</v>
      </c>
      <c r="J2717" t="e">
        <f t="shared" si="332"/>
        <v>#N/A</v>
      </c>
      <c r="K2717" t="e">
        <f t="shared" si="333"/>
        <v>#N/A</v>
      </c>
      <c r="T2717" t="str">
        <f t="shared" si="328"/>
        <v/>
      </c>
    </row>
    <row r="2718" spans="2:20" x14ac:dyDescent="0.55000000000000004">
      <c r="B2718" s="15" t="str">
        <f t="shared" si="329"/>
        <v>_5</v>
      </c>
      <c r="E2718">
        <v>2</v>
      </c>
      <c r="G2718" t="e">
        <f t="shared" si="327"/>
        <v>#N/A</v>
      </c>
      <c r="H2718" t="e">
        <f t="shared" si="330"/>
        <v>#N/A</v>
      </c>
      <c r="I2718" t="e">
        <f t="shared" si="331"/>
        <v>#N/A</v>
      </c>
      <c r="J2718" t="e">
        <f t="shared" si="332"/>
        <v>#N/A</v>
      </c>
      <c r="K2718" t="e">
        <f t="shared" si="333"/>
        <v>#N/A</v>
      </c>
      <c r="T2718" t="str">
        <f t="shared" si="328"/>
        <v/>
      </c>
    </row>
    <row r="2719" spans="2:20" x14ac:dyDescent="0.55000000000000004">
      <c r="B2719" s="15" t="str">
        <f t="shared" si="329"/>
        <v>_5</v>
      </c>
      <c r="E2719">
        <v>2</v>
      </c>
      <c r="G2719" t="e">
        <f t="shared" si="327"/>
        <v>#N/A</v>
      </c>
      <c r="H2719" t="e">
        <f t="shared" si="330"/>
        <v>#N/A</v>
      </c>
      <c r="I2719" t="e">
        <f t="shared" si="331"/>
        <v>#N/A</v>
      </c>
      <c r="J2719" t="e">
        <f t="shared" si="332"/>
        <v>#N/A</v>
      </c>
      <c r="K2719" t="e">
        <f t="shared" si="333"/>
        <v>#N/A</v>
      </c>
      <c r="T2719" t="str">
        <f t="shared" si="328"/>
        <v/>
      </c>
    </row>
    <row r="2720" spans="2:20" x14ac:dyDescent="0.55000000000000004">
      <c r="B2720" s="15" t="str">
        <f t="shared" si="329"/>
        <v>_5</v>
      </c>
      <c r="E2720">
        <v>2</v>
      </c>
      <c r="G2720" t="e">
        <f t="shared" si="327"/>
        <v>#N/A</v>
      </c>
      <c r="H2720" t="e">
        <f t="shared" si="330"/>
        <v>#N/A</v>
      </c>
      <c r="I2720" t="e">
        <f t="shared" si="331"/>
        <v>#N/A</v>
      </c>
      <c r="J2720" t="e">
        <f t="shared" si="332"/>
        <v>#N/A</v>
      </c>
      <c r="K2720" t="e">
        <f t="shared" si="333"/>
        <v>#N/A</v>
      </c>
      <c r="T2720" t="str">
        <f t="shared" si="328"/>
        <v/>
      </c>
    </row>
    <row r="2721" spans="2:20" x14ac:dyDescent="0.55000000000000004">
      <c r="B2721" s="15" t="str">
        <f t="shared" si="329"/>
        <v>_5</v>
      </c>
      <c r="E2721">
        <v>2</v>
      </c>
      <c r="G2721" t="e">
        <f t="shared" si="327"/>
        <v>#N/A</v>
      </c>
      <c r="H2721" t="e">
        <f t="shared" si="330"/>
        <v>#N/A</v>
      </c>
      <c r="I2721" t="e">
        <f t="shared" si="331"/>
        <v>#N/A</v>
      </c>
      <c r="J2721" t="e">
        <f t="shared" si="332"/>
        <v>#N/A</v>
      </c>
      <c r="K2721" t="e">
        <f t="shared" si="333"/>
        <v>#N/A</v>
      </c>
      <c r="T2721" t="str">
        <f t="shared" si="328"/>
        <v/>
      </c>
    </row>
    <row r="2722" spans="2:20" x14ac:dyDescent="0.55000000000000004">
      <c r="B2722" s="15" t="str">
        <f t="shared" si="329"/>
        <v>_5</v>
      </c>
      <c r="E2722">
        <v>2</v>
      </c>
      <c r="G2722" t="e">
        <f t="shared" si="327"/>
        <v>#N/A</v>
      </c>
      <c r="H2722" t="e">
        <f t="shared" si="330"/>
        <v>#N/A</v>
      </c>
      <c r="I2722" t="e">
        <f t="shared" si="331"/>
        <v>#N/A</v>
      </c>
      <c r="J2722" t="e">
        <f t="shared" si="332"/>
        <v>#N/A</v>
      </c>
      <c r="K2722" t="e">
        <f t="shared" si="333"/>
        <v>#N/A</v>
      </c>
      <c r="T2722" t="str">
        <f t="shared" si="328"/>
        <v/>
      </c>
    </row>
    <row r="2723" spans="2:20" x14ac:dyDescent="0.55000000000000004">
      <c r="B2723" s="15" t="str">
        <f t="shared" si="329"/>
        <v>_5</v>
      </c>
      <c r="E2723">
        <v>2</v>
      </c>
      <c r="G2723" t="e">
        <f t="shared" si="327"/>
        <v>#N/A</v>
      </c>
      <c r="H2723" t="e">
        <f t="shared" si="330"/>
        <v>#N/A</v>
      </c>
      <c r="I2723" t="e">
        <f t="shared" si="331"/>
        <v>#N/A</v>
      </c>
      <c r="J2723" t="e">
        <f t="shared" si="332"/>
        <v>#N/A</v>
      </c>
      <c r="K2723" t="e">
        <f t="shared" si="333"/>
        <v>#N/A</v>
      </c>
      <c r="T2723" t="str">
        <f t="shared" si="328"/>
        <v/>
      </c>
    </row>
    <row r="2724" spans="2:20" x14ac:dyDescent="0.55000000000000004">
      <c r="B2724" s="15" t="str">
        <f t="shared" si="329"/>
        <v>_5</v>
      </c>
      <c r="E2724">
        <v>2</v>
      </c>
      <c r="G2724" t="e">
        <f t="shared" si="327"/>
        <v>#N/A</v>
      </c>
      <c r="H2724" t="e">
        <f t="shared" si="330"/>
        <v>#N/A</v>
      </c>
      <c r="I2724" t="e">
        <f t="shared" si="331"/>
        <v>#N/A</v>
      </c>
      <c r="J2724" t="e">
        <f t="shared" si="332"/>
        <v>#N/A</v>
      </c>
      <c r="K2724" t="e">
        <f t="shared" si="333"/>
        <v>#N/A</v>
      </c>
      <c r="T2724" t="str">
        <f t="shared" si="328"/>
        <v/>
      </c>
    </row>
    <row r="2725" spans="2:20" x14ac:dyDescent="0.55000000000000004">
      <c r="B2725" s="15" t="str">
        <f t="shared" si="329"/>
        <v>_5</v>
      </c>
      <c r="E2725">
        <v>2</v>
      </c>
      <c r="G2725" t="e">
        <f t="shared" si="327"/>
        <v>#N/A</v>
      </c>
      <c r="H2725" t="e">
        <f t="shared" si="330"/>
        <v>#N/A</v>
      </c>
      <c r="I2725" t="e">
        <f t="shared" si="331"/>
        <v>#N/A</v>
      </c>
      <c r="J2725" t="e">
        <f t="shared" si="332"/>
        <v>#N/A</v>
      </c>
      <c r="K2725" t="e">
        <f t="shared" si="333"/>
        <v>#N/A</v>
      </c>
      <c r="T2725" t="str">
        <f t="shared" si="328"/>
        <v/>
      </c>
    </row>
    <row r="2726" spans="2:20" x14ac:dyDescent="0.55000000000000004">
      <c r="B2726" s="15" t="str">
        <f t="shared" si="329"/>
        <v>_5</v>
      </c>
      <c r="E2726">
        <v>2</v>
      </c>
      <c r="G2726" t="e">
        <f t="shared" si="327"/>
        <v>#N/A</v>
      </c>
      <c r="H2726" t="e">
        <f t="shared" si="330"/>
        <v>#N/A</v>
      </c>
      <c r="I2726" t="e">
        <f t="shared" si="331"/>
        <v>#N/A</v>
      </c>
      <c r="J2726" t="e">
        <f t="shared" si="332"/>
        <v>#N/A</v>
      </c>
      <c r="K2726" t="e">
        <f t="shared" si="333"/>
        <v>#N/A</v>
      </c>
      <c r="T2726" t="str">
        <f t="shared" si="328"/>
        <v/>
      </c>
    </row>
    <row r="2727" spans="2:20" x14ac:dyDescent="0.55000000000000004">
      <c r="B2727" s="15" t="str">
        <f t="shared" si="329"/>
        <v>_5</v>
      </c>
      <c r="E2727">
        <v>2</v>
      </c>
      <c r="G2727" t="e">
        <f t="shared" si="327"/>
        <v>#N/A</v>
      </c>
      <c r="H2727" t="e">
        <f t="shared" si="330"/>
        <v>#N/A</v>
      </c>
      <c r="I2727" t="e">
        <f t="shared" si="331"/>
        <v>#N/A</v>
      </c>
      <c r="J2727" t="e">
        <f t="shared" si="332"/>
        <v>#N/A</v>
      </c>
      <c r="K2727" t="e">
        <f t="shared" si="333"/>
        <v>#N/A</v>
      </c>
      <c r="T2727" t="str">
        <f t="shared" si="328"/>
        <v/>
      </c>
    </row>
    <row r="2728" spans="2:20" x14ac:dyDescent="0.55000000000000004">
      <c r="B2728" s="15" t="str">
        <f t="shared" si="329"/>
        <v>_5</v>
      </c>
      <c r="E2728">
        <v>2</v>
      </c>
      <c r="G2728" t="e">
        <f t="shared" si="327"/>
        <v>#N/A</v>
      </c>
      <c r="H2728" t="e">
        <f t="shared" si="330"/>
        <v>#N/A</v>
      </c>
      <c r="I2728" t="e">
        <f t="shared" si="331"/>
        <v>#N/A</v>
      </c>
      <c r="J2728" t="e">
        <f t="shared" si="332"/>
        <v>#N/A</v>
      </c>
      <c r="K2728" t="e">
        <f t="shared" si="333"/>
        <v>#N/A</v>
      </c>
      <c r="T2728" t="str">
        <f t="shared" si="328"/>
        <v/>
      </c>
    </row>
    <row r="2729" spans="2:20" x14ac:dyDescent="0.55000000000000004">
      <c r="B2729" s="15" t="str">
        <f t="shared" si="329"/>
        <v>_5</v>
      </c>
      <c r="E2729">
        <v>2</v>
      </c>
      <c r="G2729" t="e">
        <f t="shared" si="327"/>
        <v>#N/A</v>
      </c>
      <c r="H2729" t="e">
        <f t="shared" si="330"/>
        <v>#N/A</v>
      </c>
      <c r="I2729" t="e">
        <f t="shared" si="331"/>
        <v>#N/A</v>
      </c>
      <c r="J2729" t="e">
        <f t="shared" si="332"/>
        <v>#N/A</v>
      </c>
      <c r="K2729" t="e">
        <f t="shared" si="333"/>
        <v>#N/A</v>
      </c>
      <c r="T2729" t="str">
        <f t="shared" si="328"/>
        <v/>
      </c>
    </row>
    <row r="2730" spans="2:20" x14ac:dyDescent="0.55000000000000004">
      <c r="B2730" s="15" t="str">
        <f t="shared" si="329"/>
        <v>_5</v>
      </c>
      <c r="E2730">
        <v>2</v>
      </c>
      <c r="G2730" t="e">
        <f t="shared" si="327"/>
        <v>#N/A</v>
      </c>
      <c r="H2730" t="e">
        <f t="shared" si="330"/>
        <v>#N/A</v>
      </c>
      <c r="I2730" t="e">
        <f t="shared" si="331"/>
        <v>#N/A</v>
      </c>
      <c r="J2730" t="e">
        <f t="shared" si="332"/>
        <v>#N/A</v>
      </c>
      <c r="K2730" t="e">
        <f t="shared" si="333"/>
        <v>#N/A</v>
      </c>
      <c r="T2730" t="str">
        <f t="shared" si="328"/>
        <v/>
      </c>
    </row>
    <row r="2731" spans="2:20" x14ac:dyDescent="0.55000000000000004">
      <c r="B2731" s="15" t="str">
        <f t="shared" si="329"/>
        <v>_5</v>
      </c>
      <c r="E2731">
        <v>2</v>
      </c>
      <c r="G2731" t="e">
        <f t="shared" si="327"/>
        <v>#N/A</v>
      </c>
      <c r="H2731" t="e">
        <f t="shared" si="330"/>
        <v>#N/A</v>
      </c>
      <c r="I2731" t="e">
        <f t="shared" si="331"/>
        <v>#N/A</v>
      </c>
      <c r="J2731" t="e">
        <f t="shared" si="332"/>
        <v>#N/A</v>
      </c>
      <c r="K2731" t="e">
        <f t="shared" si="333"/>
        <v>#N/A</v>
      </c>
      <c r="T2731" t="str">
        <f t="shared" si="328"/>
        <v/>
      </c>
    </row>
    <row r="2732" spans="2:20" x14ac:dyDescent="0.55000000000000004">
      <c r="B2732" s="15" t="str">
        <f t="shared" si="329"/>
        <v>_5</v>
      </c>
      <c r="E2732">
        <v>2</v>
      </c>
      <c r="G2732" t="e">
        <f t="shared" si="327"/>
        <v>#N/A</v>
      </c>
      <c r="H2732" t="e">
        <f t="shared" si="330"/>
        <v>#N/A</v>
      </c>
      <c r="I2732" t="e">
        <f t="shared" si="331"/>
        <v>#N/A</v>
      </c>
      <c r="J2732" t="e">
        <f t="shared" si="332"/>
        <v>#N/A</v>
      </c>
      <c r="K2732" t="e">
        <f t="shared" si="333"/>
        <v>#N/A</v>
      </c>
      <c r="T2732" t="str">
        <f t="shared" si="328"/>
        <v/>
      </c>
    </row>
    <row r="2733" spans="2:20" x14ac:dyDescent="0.55000000000000004">
      <c r="B2733" s="15" t="str">
        <f t="shared" si="329"/>
        <v>_5</v>
      </c>
      <c r="E2733">
        <v>2</v>
      </c>
      <c r="G2733" t="e">
        <f t="shared" si="327"/>
        <v>#N/A</v>
      </c>
      <c r="H2733" t="e">
        <f t="shared" si="330"/>
        <v>#N/A</v>
      </c>
      <c r="I2733" t="e">
        <f t="shared" si="331"/>
        <v>#N/A</v>
      </c>
      <c r="J2733" t="e">
        <f t="shared" si="332"/>
        <v>#N/A</v>
      </c>
      <c r="K2733" t="e">
        <f t="shared" si="333"/>
        <v>#N/A</v>
      </c>
      <c r="T2733" t="str">
        <f t="shared" si="328"/>
        <v/>
      </c>
    </row>
    <row r="2734" spans="2:20" x14ac:dyDescent="0.55000000000000004">
      <c r="B2734" s="15" t="str">
        <f t="shared" si="329"/>
        <v>_5</v>
      </c>
      <c r="E2734">
        <v>2</v>
      </c>
      <c r="G2734" t="e">
        <f t="shared" si="327"/>
        <v>#N/A</v>
      </c>
      <c r="H2734" t="e">
        <f t="shared" si="330"/>
        <v>#N/A</v>
      </c>
      <c r="I2734" t="e">
        <f t="shared" si="331"/>
        <v>#N/A</v>
      </c>
      <c r="J2734" t="e">
        <f t="shared" si="332"/>
        <v>#N/A</v>
      </c>
      <c r="K2734" t="e">
        <f t="shared" si="333"/>
        <v>#N/A</v>
      </c>
      <c r="T2734" t="str">
        <f t="shared" si="328"/>
        <v/>
      </c>
    </row>
    <row r="2735" spans="2:20" x14ac:dyDescent="0.55000000000000004">
      <c r="B2735" s="15" t="str">
        <f t="shared" si="329"/>
        <v>_5</v>
      </c>
      <c r="E2735">
        <v>2</v>
      </c>
      <c r="G2735" t="e">
        <f t="shared" si="327"/>
        <v>#N/A</v>
      </c>
      <c r="H2735" t="e">
        <f t="shared" si="330"/>
        <v>#N/A</v>
      </c>
      <c r="I2735" t="e">
        <f t="shared" si="331"/>
        <v>#N/A</v>
      </c>
      <c r="J2735" t="e">
        <f t="shared" si="332"/>
        <v>#N/A</v>
      </c>
      <c r="K2735" t="e">
        <f t="shared" si="333"/>
        <v>#N/A</v>
      </c>
      <c r="T2735" t="str">
        <f t="shared" si="328"/>
        <v/>
      </c>
    </row>
    <row r="2736" spans="2:20" x14ac:dyDescent="0.55000000000000004">
      <c r="B2736" s="15" t="str">
        <f t="shared" si="329"/>
        <v>_5</v>
      </c>
      <c r="E2736">
        <v>2</v>
      </c>
      <c r="G2736" t="e">
        <f t="shared" si="327"/>
        <v>#N/A</v>
      </c>
      <c r="H2736" t="e">
        <f t="shared" si="330"/>
        <v>#N/A</v>
      </c>
      <c r="I2736" t="e">
        <f t="shared" si="331"/>
        <v>#N/A</v>
      </c>
      <c r="J2736" t="e">
        <f t="shared" si="332"/>
        <v>#N/A</v>
      </c>
      <c r="K2736" t="e">
        <f t="shared" si="333"/>
        <v>#N/A</v>
      </c>
      <c r="T2736" t="str">
        <f t="shared" si="328"/>
        <v/>
      </c>
    </row>
    <row r="2737" spans="2:20" x14ac:dyDescent="0.55000000000000004">
      <c r="B2737" s="15" t="str">
        <f t="shared" si="329"/>
        <v>_5</v>
      </c>
      <c r="E2737">
        <v>2</v>
      </c>
      <c r="G2737" t="e">
        <f t="shared" si="327"/>
        <v>#N/A</v>
      </c>
      <c r="H2737" t="e">
        <f t="shared" si="330"/>
        <v>#N/A</v>
      </c>
      <c r="I2737" t="e">
        <f t="shared" si="331"/>
        <v>#N/A</v>
      </c>
      <c r="J2737" t="e">
        <f t="shared" si="332"/>
        <v>#N/A</v>
      </c>
      <c r="K2737" t="e">
        <f t="shared" si="333"/>
        <v>#N/A</v>
      </c>
      <c r="T2737" t="str">
        <f t="shared" si="328"/>
        <v/>
      </c>
    </row>
    <row r="2738" spans="2:20" x14ac:dyDescent="0.55000000000000004">
      <c r="B2738" s="15" t="str">
        <f t="shared" si="329"/>
        <v>_5</v>
      </c>
      <c r="E2738">
        <v>2</v>
      </c>
      <c r="G2738" t="e">
        <f t="shared" si="327"/>
        <v>#N/A</v>
      </c>
      <c r="H2738" t="e">
        <f t="shared" si="330"/>
        <v>#N/A</v>
      </c>
      <c r="I2738" t="e">
        <f t="shared" si="331"/>
        <v>#N/A</v>
      </c>
      <c r="J2738" t="e">
        <f t="shared" si="332"/>
        <v>#N/A</v>
      </c>
      <c r="K2738" t="e">
        <f t="shared" si="333"/>
        <v>#N/A</v>
      </c>
      <c r="T2738" t="str">
        <f t="shared" si="328"/>
        <v/>
      </c>
    </row>
    <row r="2739" spans="2:20" x14ac:dyDescent="0.55000000000000004">
      <c r="B2739" s="15" t="str">
        <f t="shared" si="329"/>
        <v>_5</v>
      </c>
      <c r="E2739">
        <v>2</v>
      </c>
      <c r="G2739" t="e">
        <f t="shared" si="327"/>
        <v>#N/A</v>
      </c>
      <c r="H2739" t="e">
        <f t="shared" si="330"/>
        <v>#N/A</v>
      </c>
      <c r="I2739" t="e">
        <f t="shared" si="331"/>
        <v>#N/A</v>
      </c>
      <c r="J2739" t="e">
        <f t="shared" si="332"/>
        <v>#N/A</v>
      </c>
      <c r="K2739" t="e">
        <f t="shared" si="333"/>
        <v>#N/A</v>
      </c>
      <c r="T2739" t="str">
        <f t="shared" si="328"/>
        <v/>
      </c>
    </row>
    <row r="2740" spans="2:20" x14ac:dyDescent="0.55000000000000004">
      <c r="B2740" s="15" t="str">
        <f t="shared" si="329"/>
        <v>_5</v>
      </c>
      <c r="E2740">
        <v>2</v>
      </c>
      <c r="G2740" t="e">
        <f t="shared" si="327"/>
        <v>#N/A</v>
      </c>
      <c r="H2740" t="e">
        <f t="shared" si="330"/>
        <v>#N/A</v>
      </c>
      <c r="I2740" t="e">
        <f t="shared" si="331"/>
        <v>#N/A</v>
      </c>
      <c r="J2740" t="e">
        <f t="shared" si="332"/>
        <v>#N/A</v>
      </c>
      <c r="K2740" t="e">
        <f t="shared" si="333"/>
        <v>#N/A</v>
      </c>
      <c r="T2740" t="str">
        <f t="shared" si="328"/>
        <v/>
      </c>
    </row>
    <row r="2741" spans="2:20" x14ac:dyDescent="0.55000000000000004">
      <c r="B2741" s="15" t="str">
        <f t="shared" si="329"/>
        <v>_5</v>
      </c>
      <c r="E2741">
        <v>2</v>
      </c>
      <c r="G2741" t="e">
        <f t="shared" si="327"/>
        <v>#N/A</v>
      </c>
      <c r="H2741" t="e">
        <f t="shared" si="330"/>
        <v>#N/A</v>
      </c>
      <c r="I2741" t="e">
        <f t="shared" si="331"/>
        <v>#N/A</v>
      </c>
      <c r="J2741" t="e">
        <f t="shared" si="332"/>
        <v>#N/A</v>
      </c>
      <c r="K2741" t="e">
        <f t="shared" si="333"/>
        <v>#N/A</v>
      </c>
      <c r="T2741" t="str">
        <f t="shared" si="328"/>
        <v/>
      </c>
    </row>
    <row r="2742" spans="2:20" x14ac:dyDescent="0.55000000000000004">
      <c r="B2742" s="15" t="str">
        <f t="shared" si="329"/>
        <v>_5</v>
      </c>
      <c r="E2742">
        <v>2</v>
      </c>
      <c r="G2742" t="e">
        <f t="shared" ref="G2742:G2805" si="334">VLOOKUP($F2742, $W$1:$AB$10, 2, FALSE)</f>
        <v>#N/A</v>
      </c>
      <c r="H2742" t="e">
        <f t="shared" si="330"/>
        <v>#N/A</v>
      </c>
      <c r="I2742" t="e">
        <f t="shared" si="331"/>
        <v>#N/A</v>
      </c>
      <c r="J2742" t="e">
        <f t="shared" si="332"/>
        <v>#N/A</v>
      </c>
      <c r="K2742" t="e">
        <f t="shared" si="333"/>
        <v>#N/A</v>
      </c>
      <c r="T2742" t="str">
        <f t="shared" si="328"/>
        <v/>
      </c>
    </row>
    <row r="2743" spans="2:20" x14ac:dyDescent="0.55000000000000004">
      <c r="B2743" s="15" t="str">
        <f t="shared" si="329"/>
        <v>_5</v>
      </c>
      <c r="E2743">
        <v>2</v>
      </c>
      <c r="G2743" t="e">
        <f t="shared" si="334"/>
        <v>#N/A</v>
      </c>
      <c r="H2743" t="e">
        <f t="shared" si="330"/>
        <v>#N/A</v>
      </c>
      <c r="I2743" t="e">
        <f t="shared" si="331"/>
        <v>#N/A</v>
      </c>
      <c r="J2743" t="e">
        <f t="shared" si="332"/>
        <v>#N/A</v>
      </c>
      <c r="K2743" t="e">
        <f t="shared" si="333"/>
        <v>#N/A</v>
      </c>
      <c r="T2743" t="str">
        <f t="shared" si="328"/>
        <v/>
      </c>
    </row>
    <row r="2744" spans="2:20" x14ac:dyDescent="0.55000000000000004">
      <c r="B2744" s="15" t="str">
        <f t="shared" si="329"/>
        <v>_5</v>
      </c>
      <c r="E2744">
        <v>2</v>
      </c>
      <c r="G2744" t="e">
        <f t="shared" si="334"/>
        <v>#N/A</v>
      </c>
      <c r="H2744" t="e">
        <f t="shared" si="330"/>
        <v>#N/A</v>
      </c>
      <c r="I2744" t="e">
        <f t="shared" si="331"/>
        <v>#N/A</v>
      </c>
      <c r="J2744" t="e">
        <f t="shared" si="332"/>
        <v>#N/A</v>
      </c>
      <c r="K2744" t="e">
        <f t="shared" si="333"/>
        <v>#N/A</v>
      </c>
      <c r="T2744" t="str">
        <f t="shared" si="328"/>
        <v/>
      </c>
    </row>
    <row r="2745" spans="2:20" x14ac:dyDescent="0.55000000000000004">
      <c r="B2745" s="15" t="str">
        <f t="shared" si="329"/>
        <v>_5</v>
      </c>
      <c r="E2745">
        <v>2</v>
      </c>
      <c r="G2745" t="e">
        <f t="shared" si="334"/>
        <v>#N/A</v>
      </c>
      <c r="H2745" t="e">
        <f t="shared" si="330"/>
        <v>#N/A</v>
      </c>
      <c r="I2745" t="e">
        <f t="shared" si="331"/>
        <v>#N/A</v>
      </c>
      <c r="J2745" t="e">
        <f t="shared" si="332"/>
        <v>#N/A</v>
      </c>
      <c r="K2745" t="e">
        <f t="shared" si="333"/>
        <v>#N/A</v>
      </c>
      <c r="T2745" t="str">
        <f t="shared" si="328"/>
        <v/>
      </c>
    </row>
    <row r="2746" spans="2:20" x14ac:dyDescent="0.55000000000000004">
      <c r="B2746" s="15" t="str">
        <f t="shared" si="329"/>
        <v>_5</v>
      </c>
      <c r="E2746">
        <v>2</v>
      </c>
      <c r="G2746" t="e">
        <f t="shared" si="334"/>
        <v>#N/A</v>
      </c>
      <c r="H2746" t="e">
        <f t="shared" si="330"/>
        <v>#N/A</v>
      </c>
      <c r="I2746" t="e">
        <f t="shared" si="331"/>
        <v>#N/A</v>
      </c>
      <c r="J2746" t="e">
        <f t="shared" si="332"/>
        <v>#N/A</v>
      </c>
      <c r="K2746" t="e">
        <f t="shared" si="333"/>
        <v>#N/A</v>
      </c>
      <c r="T2746" t="str">
        <f t="shared" si="328"/>
        <v/>
      </c>
    </row>
    <row r="2747" spans="2:20" x14ac:dyDescent="0.55000000000000004">
      <c r="B2747" s="15" t="str">
        <f t="shared" si="329"/>
        <v>_5</v>
      </c>
      <c r="E2747">
        <v>2</v>
      </c>
      <c r="G2747" t="e">
        <f t="shared" si="334"/>
        <v>#N/A</v>
      </c>
      <c r="H2747" t="e">
        <f t="shared" si="330"/>
        <v>#N/A</v>
      </c>
      <c r="I2747" t="e">
        <f t="shared" si="331"/>
        <v>#N/A</v>
      </c>
      <c r="J2747" t="e">
        <f t="shared" si="332"/>
        <v>#N/A</v>
      </c>
      <c r="K2747" t="e">
        <f t="shared" si="333"/>
        <v>#N/A</v>
      </c>
      <c r="T2747" t="str">
        <f t="shared" si="328"/>
        <v/>
      </c>
    </row>
    <row r="2748" spans="2:20" x14ac:dyDescent="0.55000000000000004">
      <c r="B2748" s="15" t="str">
        <f t="shared" si="329"/>
        <v>_5</v>
      </c>
      <c r="E2748">
        <v>2</v>
      </c>
      <c r="G2748" t="e">
        <f t="shared" si="334"/>
        <v>#N/A</v>
      </c>
      <c r="H2748" t="e">
        <f t="shared" si="330"/>
        <v>#N/A</v>
      </c>
      <c r="I2748" t="e">
        <f t="shared" si="331"/>
        <v>#N/A</v>
      </c>
      <c r="J2748" t="e">
        <f t="shared" si="332"/>
        <v>#N/A</v>
      </c>
      <c r="K2748" t="e">
        <f t="shared" si="333"/>
        <v>#N/A</v>
      </c>
      <c r="T2748" t="str">
        <f t="shared" si="328"/>
        <v/>
      </c>
    </row>
    <row r="2749" spans="2:20" x14ac:dyDescent="0.55000000000000004">
      <c r="B2749" s="15" t="str">
        <f t="shared" si="329"/>
        <v>_5</v>
      </c>
      <c r="E2749">
        <v>2</v>
      </c>
      <c r="G2749" t="e">
        <f t="shared" si="334"/>
        <v>#N/A</v>
      </c>
      <c r="H2749" t="e">
        <f t="shared" si="330"/>
        <v>#N/A</v>
      </c>
      <c r="I2749" t="e">
        <f t="shared" si="331"/>
        <v>#N/A</v>
      </c>
      <c r="J2749" t="e">
        <f t="shared" si="332"/>
        <v>#N/A</v>
      </c>
      <c r="K2749" t="e">
        <f t="shared" si="333"/>
        <v>#N/A</v>
      </c>
      <c r="T2749" t="str">
        <f t="shared" si="328"/>
        <v/>
      </c>
    </row>
    <row r="2750" spans="2:20" x14ac:dyDescent="0.55000000000000004">
      <c r="B2750" s="15" t="str">
        <f t="shared" si="329"/>
        <v>_5</v>
      </c>
      <c r="E2750">
        <v>2</v>
      </c>
      <c r="G2750" t="e">
        <f t="shared" si="334"/>
        <v>#N/A</v>
      </c>
      <c r="H2750" t="e">
        <f t="shared" si="330"/>
        <v>#N/A</v>
      </c>
      <c r="I2750" t="e">
        <f t="shared" si="331"/>
        <v>#N/A</v>
      </c>
      <c r="J2750" t="e">
        <f t="shared" si="332"/>
        <v>#N/A</v>
      </c>
      <c r="K2750" t="e">
        <f t="shared" si="333"/>
        <v>#N/A</v>
      </c>
      <c r="T2750" t="str">
        <f t="shared" si="328"/>
        <v/>
      </c>
    </row>
    <row r="2751" spans="2:20" x14ac:dyDescent="0.55000000000000004">
      <c r="B2751" s="15" t="str">
        <f t="shared" si="329"/>
        <v>_5</v>
      </c>
      <c r="E2751">
        <v>2</v>
      </c>
      <c r="G2751" t="e">
        <f t="shared" si="334"/>
        <v>#N/A</v>
      </c>
      <c r="H2751" t="e">
        <f t="shared" si="330"/>
        <v>#N/A</v>
      </c>
      <c r="I2751" t="e">
        <f t="shared" si="331"/>
        <v>#N/A</v>
      </c>
      <c r="J2751" t="e">
        <f t="shared" si="332"/>
        <v>#N/A</v>
      </c>
      <c r="K2751" t="e">
        <f t="shared" si="333"/>
        <v>#N/A</v>
      </c>
      <c r="T2751" t="str">
        <f t="shared" si="328"/>
        <v/>
      </c>
    </row>
    <row r="2752" spans="2:20" x14ac:dyDescent="0.55000000000000004">
      <c r="B2752" s="15" t="str">
        <f t="shared" si="329"/>
        <v>_5</v>
      </c>
      <c r="E2752">
        <v>2</v>
      </c>
      <c r="G2752" t="e">
        <f t="shared" si="334"/>
        <v>#N/A</v>
      </c>
      <c r="H2752" t="e">
        <f t="shared" si="330"/>
        <v>#N/A</v>
      </c>
      <c r="I2752" t="e">
        <f t="shared" si="331"/>
        <v>#N/A</v>
      </c>
      <c r="J2752" t="e">
        <f t="shared" si="332"/>
        <v>#N/A</v>
      </c>
      <c r="K2752" t="e">
        <f t="shared" si="333"/>
        <v>#N/A</v>
      </c>
      <c r="T2752" t="str">
        <f t="shared" si="328"/>
        <v/>
      </c>
    </row>
    <row r="2753" spans="2:20" x14ac:dyDescent="0.55000000000000004">
      <c r="B2753" s="15" t="str">
        <f t="shared" si="329"/>
        <v>_5</v>
      </c>
      <c r="E2753">
        <v>2</v>
      </c>
      <c r="G2753" t="e">
        <f t="shared" si="334"/>
        <v>#N/A</v>
      </c>
      <c r="H2753" t="e">
        <f t="shared" si="330"/>
        <v>#N/A</v>
      </c>
      <c r="I2753" t="e">
        <f t="shared" si="331"/>
        <v>#N/A</v>
      </c>
      <c r="J2753" t="e">
        <f t="shared" si="332"/>
        <v>#N/A</v>
      </c>
      <c r="K2753" t="e">
        <f t="shared" si="333"/>
        <v>#N/A</v>
      </c>
      <c r="T2753" t="str">
        <f t="shared" si="328"/>
        <v/>
      </c>
    </row>
    <row r="2754" spans="2:20" x14ac:dyDescent="0.55000000000000004">
      <c r="B2754" s="15" t="str">
        <f t="shared" si="329"/>
        <v>_5</v>
      </c>
      <c r="E2754">
        <v>2</v>
      </c>
      <c r="G2754" t="e">
        <f t="shared" si="334"/>
        <v>#N/A</v>
      </c>
      <c r="H2754" t="e">
        <f t="shared" si="330"/>
        <v>#N/A</v>
      </c>
      <c r="I2754" t="e">
        <f t="shared" si="331"/>
        <v>#N/A</v>
      </c>
      <c r="J2754" t="e">
        <f t="shared" si="332"/>
        <v>#N/A</v>
      </c>
      <c r="K2754" t="e">
        <f t="shared" si="333"/>
        <v>#N/A</v>
      </c>
      <c r="T2754" t="str">
        <f t="shared" si="328"/>
        <v/>
      </c>
    </row>
    <row r="2755" spans="2:20" x14ac:dyDescent="0.55000000000000004">
      <c r="B2755" s="15" t="str">
        <f t="shared" si="329"/>
        <v>_5</v>
      </c>
      <c r="E2755">
        <v>2</v>
      </c>
      <c r="G2755" t="e">
        <f t="shared" si="334"/>
        <v>#N/A</v>
      </c>
      <c r="H2755" t="e">
        <f t="shared" si="330"/>
        <v>#N/A</v>
      </c>
      <c r="I2755" t="e">
        <f t="shared" si="331"/>
        <v>#N/A</v>
      </c>
      <c r="J2755" t="e">
        <f t="shared" si="332"/>
        <v>#N/A</v>
      </c>
      <c r="K2755" t="e">
        <f t="shared" si="333"/>
        <v>#N/A</v>
      </c>
      <c r="T2755" t="str">
        <f t="shared" si="328"/>
        <v/>
      </c>
    </row>
    <row r="2756" spans="2:20" x14ac:dyDescent="0.55000000000000004">
      <c r="B2756" s="15" t="str">
        <f t="shared" si="329"/>
        <v>_5</v>
      </c>
      <c r="E2756">
        <v>2</v>
      </c>
      <c r="G2756" t="e">
        <f t="shared" si="334"/>
        <v>#N/A</v>
      </c>
      <c r="H2756" t="e">
        <f t="shared" si="330"/>
        <v>#N/A</v>
      </c>
      <c r="I2756" t="e">
        <f t="shared" si="331"/>
        <v>#N/A</v>
      </c>
      <c r="J2756" t="e">
        <f t="shared" si="332"/>
        <v>#N/A</v>
      </c>
      <c r="K2756" t="e">
        <f t="shared" si="333"/>
        <v>#N/A</v>
      </c>
      <c r="T2756" t="str">
        <f t="shared" ref="T2756:T2805" si="335">IF(S2756&lt;&gt;"", S2756*236.588, "")</f>
        <v/>
      </c>
    </row>
    <row r="2757" spans="2:20" x14ac:dyDescent="0.55000000000000004">
      <c r="B2757" s="15" t="str">
        <f t="shared" si="329"/>
        <v>_5</v>
      </c>
      <c r="E2757">
        <v>2</v>
      </c>
      <c r="G2757" t="e">
        <f t="shared" si="334"/>
        <v>#N/A</v>
      </c>
      <c r="H2757" t="e">
        <f t="shared" si="330"/>
        <v>#N/A</v>
      </c>
      <c r="I2757" t="e">
        <f t="shared" si="331"/>
        <v>#N/A</v>
      </c>
      <c r="J2757" t="e">
        <f t="shared" si="332"/>
        <v>#N/A</v>
      </c>
      <c r="K2757" t="e">
        <f t="shared" si="333"/>
        <v>#N/A</v>
      </c>
      <c r="T2757" t="str">
        <f t="shared" si="335"/>
        <v/>
      </c>
    </row>
    <row r="2758" spans="2:20" x14ac:dyDescent="0.55000000000000004">
      <c r="B2758" s="15" t="str">
        <f t="shared" si="329"/>
        <v>_5</v>
      </c>
      <c r="E2758">
        <v>2</v>
      </c>
      <c r="G2758" t="e">
        <f t="shared" si="334"/>
        <v>#N/A</v>
      </c>
      <c r="H2758" t="e">
        <f t="shared" si="330"/>
        <v>#N/A</v>
      </c>
      <c r="I2758" t="e">
        <f t="shared" si="331"/>
        <v>#N/A</v>
      </c>
      <c r="J2758" t="e">
        <f t="shared" si="332"/>
        <v>#N/A</v>
      </c>
      <c r="K2758" t="e">
        <f t="shared" si="333"/>
        <v>#N/A</v>
      </c>
      <c r="T2758" t="str">
        <f t="shared" si="335"/>
        <v/>
      </c>
    </row>
    <row r="2759" spans="2:20" x14ac:dyDescent="0.55000000000000004">
      <c r="B2759" s="15" t="str">
        <f t="shared" si="329"/>
        <v>_5</v>
      </c>
      <c r="E2759">
        <v>2</v>
      </c>
      <c r="G2759" t="e">
        <f t="shared" si="334"/>
        <v>#N/A</v>
      </c>
      <c r="H2759" t="e">
        <f t="shared" si="330"/>
        <v>#N/A</v>
      </c>
      <c r="I2759" t="e">
        <f t="shared" si="331"/>
        <v>#N/A</v>
      </c>
      <c r="J2759" t="e">
        <f t="shared" si="332"/>
        <v>#N/A</v>
      </c>
      <c r="K2759" t="e">
        <f t="shared" si="333"/>
        <v>#N/A</v>
      </c>
      <c r="T2759" t="str">
        <f t="shared" si="335"/>
        <v/>
      </c>
    </row>
    <row r="2760" spans="2:20" x14ac:dyDescent="0.55000000000000004">
      <c r="B2760" s="15" t="str">
        <f t="shared" ref="B2760:B2805" si="336">A2760 &amp; "_5"</f>
        <v>_5</v>
      </c>
      <c r="E2760">
        <v>2</v>
      </c>
      <c r="G2760" t="e">
        <f t="shared" si="334"/>
        <v>#N/A</v>
      </c>
      <c r="H2760" t="e">
        <f t="shared" si="330"/>
        <v>#N/A</v>
      </c>
      <c r="I2760" t="e">
        <f t="shared" si="331"/>
        <v>#N/A</v>
      </c>
      <c r="J2760" t="e">
        <f t="shared" si="332"/>
        <v>#N/A</v>
      </c>
      <c r="K2760" t="e">
        <f t="shared" si="333"/>
        <v>#N/A</v>
      </c>
      <c r="T2760" t="str">
        <f t="shared" si="335"/>
        <v/>
      </c>
    </row>
    <row r="2761" spans="2:20" x14ac:dyDescent="0.55000000000000004">
      <c r="B2761" s="15" t="str">
        <f t="shared" si="336"/>
        <v>_5</v>
      </c>
      <c r="E2761">
        <v>2</v>
      </c>
      <c r="G2761" t="e">
        <f t="shared" si="334"/>
        <v>#N/A</v>
      </c>
      <c r="H2761" t="e">
        <f t="shared" si="330"/>
        <v>#N/A</v>
      </c>
      <c r="I2761" t="e">
        <f t="shared" si="331"/>
        <v>#N/A</v>
      </c>
      <c r="J2761" t="e">
        <f t="shared" si="332"/>
        <v>#N/A</v>
      </c>
      <c r="K2761" t="e">
        <f t="shared" si="333"/>
        <v>#N/A</v>
      </c>
      <c r="T2761" t="str">
        <f t="shared" si="335"/>
        <v/>
      </c>
    </row>
    <row r="2762" spans="2:20" x14ac:dyDescent="0.55000000000000004">
      <c r="B2762" s="15" t="str">
        <f t="shared" si="336"/>
        <v>_5</v>
      </c>
      <c r="E2762">
        <v>2</v>
      </c>
      <c r="G2762" t="e">
        <f t="shared" si="334"/>
        <v>#N/A</v>
      </c>
      <c r="H2762" t="e">
        <f t="shared" si="330"/>
        <v>#N/A</v>
      </c>
      <c r="I2762" t="e">
        <f t="shared" si="331"/>
        <v>#N/A</v>
      </c>
      <c r="J2762" t="e">
        <f t="shared" si="332"/>
        <v>#N/A</v>
      </c>
      <c r="K2762" t="e">
        <f t="shared" si="333"/>
        <v>#N/A</v>
      </c>
      <c r="T2762" t="str">
        <f t="shared" si="335"/>
        <v/>
      </c>
    </row>
    <row r="2763" spans="2:20" x14ac:dyDescent="0.55000000000000004">
      <c r="B2763" s="15" t="str">
        <f t="shared" si="336"/>
        <v>_5</v>
      </c>
      <c r="E2763">
        <v>2</v>
      </c>
      <c r="G2763" t="e">
        <f t="shared" si="334"/>
        <v>#N/A</v>
      </c>
      <c r="H2763" t="e">
        <f t="shared" si="330"/>
        <v>#N/A</v>
      </c>
      <c r="I2763" t="e">
        <f t="shared" si="331"/>
        <v>#N/A</v>
      </c>
      <c r="J2763" t="e">
        <f t="shared" si="332"/>
        <v>#N/A</v>
      </c>
      <c r="K2763" t="e">
        <f t="shared" si="333"/>
        <v>#N/A</v>
      </c>
      <c r="T2763" t="str">
        <f t="shared" si="335"/>
        <v/>
      </c>
    </row>
    <row r="2764" spans="2:20" x14ac:dyDescent="0.55000000000000004">
      <c r="B2764" s="15" t="str">
        <f t="shared" si="336"/>
        <v>_5</v>
      </c>
      <c r="E2764">
        <v>2</v>
      </c>
      <c r="G2764" t="e">
        <f t="shared" si="334"/>
        <v>#N/A</v>
      </c>
      <c r="H2764" t="e">
        <f t="shared" si="330"/>
        <v>#N/A</v>
      </c>
      <c r="I2764" t="e">
        <f t="shared" si="331"/>
        <v>#N/A</v>
      </c>
      <c r="J2764" t="e">
        <f t="shared" si="332"/>
        <v>#N/A</v>
      </c>
      <c r="K2764" t="e">
        <f t="shared" si="333"/>
        <v>#N/A</v>
      </c>
      <c r="T2764" t="str">
        <f t="shared" si="335"/>
        <v/>
      </c>
    </row>
    <row r="2765" spans="2:20" x14ac:dyDescent="0.55000000000000004">
      <c r="B2765" s="15" t="str">
        <f t="shared" si="336"/>
        <v>_5</v>
      </c>
      <c r="E2765">
        <v>2</v>
      </c>
      <c r="G2765" t="e">
        <f t="shared" si="334"/>
        <v>#N/A</v>
      </c>
      <c r="H2765" t="e">
        <f t="shared" si="330"/>
        <v>#N/A</v>
      </c>
      <c r="I2765" t="e">
        <f t="shared" si="331"/>
        <v>#N/A</v>
      </c>
      <c r="J2765" t="e">
        <f t="shared" si="332"/>
        <v>#N/A</v>
      </c>
      <c r="K2765" t="e">
        <f t="shared" si="333"/>
        <v>#N/A</v>
      </c>
      <c r="T2765" t="str">
        <f t="shared" si="335"/>
        <v/>
      </c>
    </row>
    <row r="2766" spans="2:20" x14ac:dyDescent="0.55000000000000004">
      <c r="B2766" s="15" t="str">
        <f t="shared" si="336"/>
        <v>_5</v>
      </c>
      <c r="E2766">
        <v>2</v>
      </c>
      <c r="G2766" t="e">
        <f t="shared" si="334"/>
        <v>#N/A</v>
      </c>
      <c r="H2766" t="e">
        <f t="shared" si="330"/>
        <v>#N/A</v>
      </c>
      <c r="I2766" t="e">
        <f t="shared" si="331"/>
        <v>#N/A</v>
      </c>
      <c r="J2766" t="e">
        <f t="shared" si="332"/>
        <v>#N/A</v>
      </c>
      <c r="K2766" t="e">
        <f t="shared" si="333"/>
        <v>#N/A</v>
      </c>
      <c r="T2766" t="str">
        <f t="shared" si="335"/>
        <v/>
      </c>
    </row>
    <row r="2767" spans="2:20" x14ac:dyDescent="0.55000000000000004">
      <c r="B2767" s="15" t="str">
        <f t="shared" si="336"/>
        <v>_5</v>
      </c>
      <c r="E2767">
        <v>2</v>
      </c>
      <c r="G2767" t="e">
        <f t="shared" si="334"/>
        <v>#N/A</v>
      </c>
      <c r="H2767" t="e">
        <f t="shared" si="330"/>
        <v>#N/A</v>
      </c>
      <c r="I2767" t="e">
        <f t="shared" si="331"/>
        <v>#N/A</v>
      </c>
      <c r="J2767" t="e">
        <f t="shared" si="332"/>
        <v>#N/A</v>
      </c>
      <c r="K2767" t="e">
        <f t="shared" si="333"/>
        <v>#N/A</v>
      </c>
      <c r="T2767" t="str">
        <f t="shared" si="335"/>
        <v/>
      </c>
    </row>
    <row r="2768" spans="2:20" x14ac:dyDescent="0.55000000000000004">
      <c r="B2768" s="15" t="str">
        <f t="shared" si="336"/>
        <v>_5</v>
      </c>
      <c r="E2768">
        <v>2</v>
      </c>
      <c r="G2768" t="e">
        <f t="shared" si="334"/>
        <v>#N/A</v>
      </c>
      <c r="H2768" t="e">
        <f t="shared" si="330"/>
        <v>#N/A</v>
      </c>
      <c r="I2768" t="e">
        <f t="shared" si="331"/>
        <v>#N/A</v>
      </c>
      <c r="J2768" t="e">
        <f t="shared" si="332"/>
        <v>#N/A</v>
      </c>
      <c r="K2768" t="e">
        <f t="shared" si="333"/>
        <v>#N/A</v>
      </c>
      <c r="T2768" t="str">
        <f t="shared" si="335"/>
        <v/>
      </c>
    </row>
    <row r="2769" spans="2:20" x14ac:dyDescent="0.55000000000000004">
      <c r="B2769" s="15" t="str">
        <f t="shared" si="336"/>
        <v>_5</v>
      </c>
      <c r="E2769">
        <v>2</v>
      </c>
      <c r="G2769" t="e">
        <f t="shared" si="334"/>
        <v>#N/A</v>
      </c>
      <c r="H2769" t="e">
        <f t="shared" ref="H2769:H2805" si="337">VLOOKUP($F2769, $W$1:$AB$10, 3, FALSE)</f>
        <v>#N/A</v>
      </c>
      <c r="I2769" t="e">
        <f t="shared" ref="I2769:I2805" si="338">VLOOKUP($F2769, $W$1:$AB$10, 4, FALSE)</f>
        <v>#N/A</v>
      </c>
      <c r="J2769" t="e">
        <f t="shared" ref="J2769:J2805" si="339">VLOOKUP($F2769, $W$1:$AC$10, 5, FALSE)</f>
        <v>#N/A</v>
      </c>
      <c r="K2769" t="e">
        <f t="shared" ref="K2769:K2805" si="340">VLOOKUP($F2769, $W$1:$AB$10, 6, FALSE)</f>
        <v>#N/A</v>
      </c>
      <c r="T2769" t="str">
        <f t="shared" si="335"/>
        <v/>
      </c>
    </row>
    <row r="2770" spans="2:20" x14ac:dyDescent="0.55000000000000004">
      <c r="B2770" s="15" t="str">
        <f t="shared" si="336"/>
        <v>_5</v>
      </c>
      <c r="E2770">
        <v>2</v>
      </c>
      <c r="G2770" t="e">
        <f t="shared" si="334"/>
        <v>#N/A</v>
      </c>
      <c r="H2770" t="e">
        <f t="shared" si="337"/>
        <v>#N/A</v>
      </c>
      <c r="I2770" t="e">
        <f t="shared" si="338"/>
        <v>#N/A</v>
      </c>
      <c r="J2770" t="e">
        <f t="shared" si="339"/>
        <v>#N/A</v>
      </c>
      <c r="K2770" t="e">
        <f t="shared" si="340"/>
        <v>#N/A</v>
      </c>
      <c r="T2770" t="str">
        <f t="shared" si="335"/>
        <v/>
      </c>
    </row>
    <row r="2771" spans="2:20" x14ac:dyDescent="0.55000000000000004">
      <c r="B2771" s="15" t="str">
        <f t="shared" si="336"/>
        <v>_5</v>
      </c>
      <c r="E2771">
        <v>2</v>
      </c>
      <c r="G2771" t="e">
        <f t="shared" si="334"/>
        <v>#N/A</v>
      </c>
      <c r="H2771" t="e">
        <f t="shared" si="337"/>
        <v>#N/A</v>
      </c>
      <c r="I2771" t="e">
        <f t="shared" si="338"/>
        <v>#N/A</v>
      </c>
      <c r="J2771" t="e">
        <f t="shared" si="339"/>
        <v>#N/A</v>
      </c>
      <c r="K2771" t="e">
        <f t="shared" si="340"/>
        <v>#N/A</v>
      </c>
      <c r="T2771" t="str">
        <f t="shared" si="335"/>
        <v/>
      </c>
    </row>
    <row r="2772" spans="2:20" x14ac:dyDescent="0.55000000000000004">
      <c r="B2772" s="15" t="str">
        <f t="shared" si="336"/>
        <v>_5</v>
      </c>
      <c r="E2772">
        <v>2</v>
      </c>
      <c r="G2772" t="e">
        <f t="shared" si="334"/>
        <v>#N/A</v>
      </c>
      <c r="H2772" t="e">
        <f t="shared" si="337"/>
        <v>#N/A</v>
      </c>
      <c r="I2772" t="e">
        <f t="shared" si="338"/>
        <v>#N/A</v>
      </c>
      <c r="J2772" t="e">
        <f t="shared" si="339"/>
        <v>#N/A</v>
      </c>
      <c r="K2772" t="e">
        <f t="shared" si="340"/>
        <v>#N/A</v>
      </c>
      <c r="T2772" t="str">
        <f t="shared" si="335"/>
        <v/>
      </c>
    </row>
    <row r="2773" spans="2:20" x14ac:dyDescent="0.55000000000000004">
      <c r="B2773" s="15" t="str">
        <f t="shared" si="336"/>
        <v>_5</v>
      </c>
      <c r="E2773">
        <v>2</v>
      </c>
      <c r="G2773" t="e">
        <f t="shared" si="334"/>
        <v>#N/A</v>
      </c>
      <c r="H2773" t="e">
        <f t="shared" si="337"/>
        <v>#N/A</v>
      </c>
      <c r="I2773" t="e">
        <f t="shared" si="338"/>
        <v>#N/A</v>
      </c>
      <c r="J2773" t="e">
        <f t="shared" si="339"/>
        <v>#N/A</v>
      </c>
      <c r="K2773" t="e">
        <f t="shared" si="340"/>
        <v>#N/A</v>
      </c>
      <c r="T2773" t="str">
        <f t="shared" si="335"/>
        <v/>
      </c>
    </row>
    <row r="2774" spans="2:20" x14ac:dyDescent="0.55000000000000004">
      <c r="B2774" s="15" t="str">
        <f t="shared" si="336"/>
        <v>_5</v>
      </c>
      <c r="E2774">
        <v>2</v>
      </c>
      <c r="G2774" t="e">
        <f t="shared" si="334"/>
        <v>#N/A</v>
      </c>
      <c r="H2774" t="e">
        <f t="shared" si="337"/>
        <v>#N/A</v>
      </c>
      <c r="I2774" t="e">
        <f t="shared" si="338"/>
        <v>#N/A</v>
      </c>
      <c r="J2774" t="e">
        <f t="shared" si="339"/>
        <v>#N/A</v>
      </c>
      <c r="K2774" t="e">
        <f t="shared" si="340"/>
        <v>#N/A</v>
      </c>
      <c r="T2774" t="str">
        <f t="shared" si="335"/>
        <v/>
      </c>
    </row>
    <row r="2775" spans="2:20" x14ac:dyDescent="0.55000000000000004">
      <c r="B2775" s="15" t="str">
        <f t="shared" si="336"/>
        <v>_5</v>
      </c>
      <c r="E2775">
        <v>2</v>
      </c>
      <c r="G2775" t="e">
        <f t="shared" si="334"/>
        <v>#N/A</v>
      </c>
      <c r="H2775" t="e">
        <f t="shared" si="337"/>
        <v>#N/A</v>
      </c>
      <c r="I2775" t="e">
        <f t="shared" si="338"/>
        <v>#N/A</v>
      </c>
      <c r="J2775" t="e">
        <f t="shared" si="339"/>
        <v>#N/A</v>
      </c>
      <c r="K2775" t="e">
        <f t="shared" si="340"/>
        <v>#N/A</v>
      </c>
      <c r="T2775" t="str">
        <f t="shared" si="335"/>
        <v/>
      </c>
    </row>
    <row r="2776" spans="2:20" x14ac:dyDescent="0.55000000000000004">
      <c r="B2776" s="15" t="str">
        <f t="shared" si="336"/>
        <v>_5</v>
      </c>
      <c r="E2776">
        <v>2</v>
      </c>
      <c r="G2776" t="e">
        <f t="shared" si="334"/>
        <v>#N/A</v>
      </c>
      <c r="H2776" t="e">
        <f t="shared" si="337"/>
        <v>#N/A</v>
      </c>
      <c r="I2776" t="e">
        <f t="shared" si="338"/>
        <v>#N/A</v>
      </c>
      <c r="J2776" t="e">
        <f t="shared" si="339"/>
        <v>#N/A</v>
      </c>
      <c r="K2776" t="e">
        <f t="shared" si="340"/>
        <v>#N/A</v>
      </c>
      <c r="T2776" t="str">
        <f t="shared" si="335"/>
        <v/>
      </c>
    </row>
    <row r="2777" spans="2:20" x14ac:dyDescent="0.55000000000000004">
      <c r="B2777" s="15" t="str">
        <f t="shared" si="336"/>
        <v>_5</v>
      </c>
      <c r="E2777">
        <v>2</v>
      </c>
      <c r="G2777" t="e">
        <f t="shared" si="334"/>
        <v>#N/A</v>
      </c>
      <c r="H2777" t="e">
        <f t="shared" si="337"/>
        <v>#N/A</v>
      </c>
      <c r="I2777" t="e">
        <f t="shared" si="338"/>
        <v>#N/A</v>
      </c>
      <c r="J2777" t="e">
        <f t="shared" si="339"/>
        <v>#N/A</v>
      </c>
      <c r="K2777" t="e">
        <f t="shared" si="340"/>
        <v>#N/A</v>
      </c>
      <c r="T2777" t="str">
        <f t="shared" si="335"/>
        <v/>
      </c>
    </row>
    <row r="2778" spans="2:20" x14ac:dyDescent="0.55000000000000004">
      <c r="B2778" s="15" t="str">
        <f t="shared" si="336"/>
        <v>_5</v>
      </c>
      <c r="E2778">
        <v>2</v>
      </c>
      <c r="G2778" t="e">
        <f t="shared" si="334"/>
        <v>#N/A</v>
      </c>
      <c r="H2778" t="e">
        <f t="shared" si="337"/>
        <v>#N/A</v>
      </c>
      <c r="I2778" t="e">
        <f t="shared" si="338"/>
        <v>#N/A</v>
      </c>
      <c r="J2778" t="e">
        <f t="shared" si="339"/>
        <v>#N/A</v>
      </c>
      <c r="K2778" t="e">
        <f t="shared" si="340"/>
        <v>#N/A</v>
      </c>
      <c r="T2778" t="str">
        <f t="shared" si="335"/>
        <v/>
      </c>
    </row>
    <row r="2779" spans="2:20" x14ac:dyDescent="0.55000000000000004">
      <c r="B2779" s="15" t="str">
        <f t="shared" si="336"/>
        <v>_5</v>
      </c>
      <c r="E2779">
        <v>2</v>
      </c>
      <c r="G2779" t="e">
        <f t="shared" si="334"/>
        <v>#N/A</v>
      </c>
      <c r="H2779" t="e">
        <f t="shared" si="337"/>
        <v>#N/A</v>
      </c>
      <c r="I2779" t="e">
        <f t="shared" si="338"/>
        <v>#N/A</v>
      </c>
      <c r="J2779" t="e">
        <f t="shared" si="339"/>
        <v>#N/A</v>
      </c>
      <c r="K2779" t="e">
        <f t="shared" si="340"/>
        <v>#N/A</v>
      </c>
      <c r="T2779" t="str">
        <f t="shared" si="335"/>
        <v/>
      </c>
    </row>
    <row r="2780" spans="2:20" x14ac:dyDescent="0.55000000000000004">
      <c r="B2780" s="15" t="str">
        <f t="shared" si="336"/>
        <v>_5</v>
      </c>
      <c r="E2780">
        <v>2</v>
      </c>
      <c r="G2780" t="e">
        <f t="shared" si="334"/>
        <v>#N/A</v>
      </c>
      <c r="H2780" t="e">
        <f t="shared" si="337"/>
        <v>#N/A</v>
      </c>
      <c r="I2780" t="e">
        <f t="shared" si="338"/>
        <v>#N/A</v>
      </c>
      <c r="J2780" t="e">
        <f t="shared" si="339"/>
        <v>#N/A</v>
      </c>
      <c r="K2780" t="e">
        <f t="shared" si="340"/>
        <v>#N/A</v>
      </c>
      <c r="T2780" t="str">
        <f t="shared" si="335"/>
        <v/>
      </c>
    </row>
    <row r="2781" spans="2:20" x14ac:dyDescent="0.55000000000000004">
      <c r="B2781" s="15" t="str">
        <f t="shared" si="336"/>
        <v>_5</v>
      </c>
      <c r="E2781">
        <v>2</v>
      </c>
      <c r="G2781" t="e">
        <f t="shared" si="334"/>
        <v>#N/A</v>
      </c>
      <c r="H2781" t="e">
        <f t="shared" si="337"/>
        <v>#N/A</v>
      </c>
      <c r="I2781" t="e">
        <f t="shared" si="338"/>
        <v>#N/A</v>
      </c>
      <c r="J2781" t="e">
        <f t="shared" si="339"/>
        <v>#N/A</v>
      </c>
      <c r="K2781" t="e">
        <f t="shared" si="340"/>
        <v>#N/A</v>
      </c>
      <c r="T2781" t="str">
        <f t="shared" si="335"/>
        <v/>
      </c>
    </row>
    <row r="2782" spans="2:20" x14ac:dyDescent="0.55000000000000004">
      <c r="B2782" s="15" t="str">
        <f t="shared" si="336"/>
        <v>_5</v>
      </c>
      <c r="E2782">
        <v>2</v>
      </c>
      <c r="G2782" t="e">
        <f t="shared" si="334"/>
        <v>#N/A</v>
      </c>
      <c r="H2782" t="e">
        <f t="shared" si="337"/>
        <v>#N/A</v>
      </c>
      <c r="I2782" t="e">
        <f t="shared" si="338"/>
        <v>#N/A</v>
      </c>
      <c r="J2782" t="e">
        <f t="shared" si="339"/>
        <v>#N/A</v>
      </c>
      <c r="K2782" t="e">
        <f t="shared" si="340"/>
        <v>#N/A</v>
      </c>
      <c r="T2782" t="str">
        <f t="shared" si="335"/>
        <v/>
      </c>
    </row>
    <row r="2783" spans="2:20" x14ac:dyDescent="0.55000000000000004">
      <c r="B2783" s="15" t="str">
        <f t="shared" si="336"/>
        <v>_5</v>
      </c>
      <c r="E2783">
        <v>2</v>
      </c>
      <c r="G2783" t="e">
        <f t="shared" si="334"/>
        <v>#N/A</v>
      </c>
      <c r="H2783" t="e">
        <f t="shared" si="337"/>
        <v>#N/A</v>
      </c>
      <c r="I2783" t="e">
        <f t="shared" si="338"/>
        <v>#N/A</v>
      </c>
      <c r="J2783" t="e">
        <f t="shared" si="339"/>
        <v>#N/A</v>
      </c>
      <c r="K2783" t="e">
        <f t="shared" si="340"/>
        <v>#N/A</v>
      </c>
      <c r="T2783" t="str">
        <f t="shared" si="335"/>
        <v/>
      </c>
    </row>
    <row r="2784" spans="2:20" x14ac:dyDescent="0.55000000000000004">
      <c r="B2784" s="15" t="str">
        <f t="shared" si="336"/>
        <v>_5</v>
      </c>
      <c r="E2784">
        <v>2</v>
      </c>
      <c r="G2784" t="e">
        <f t="shared" si="334"/>
        <v>#N/A</v>
      </c>
      <c r="H2784" t="e">
        <f t="shared" si="337"/>
        <v>#N/A</v>
      </c>
      <c r="I2784" t="e">
        <f t="shared" si="338"/>
        <v>#N/A</v>
      </c>
      <c r="J2784" t="e">
        <f t="shared" si="339"/>
        <v>#N/A</v>
      </c>
      <c r="K2784" t="e">
        <f t="shared" si="340"/>
        <v>#N/A</v>
      </c>
      <c r="T2784" t="str">
        <f t="shared" si="335"/>
        <v/>
      </c>
    </row>
    <row r="2785" spans="2:20" x14ac:dyDescent="0.55000000000000004">
      <c r="B2785" s="15" t="str">
        <f t="shared" si="336"/>
        <v>_5</v>
      </c>
      <c r="E2785">
        <v>2</v>
      </c>
      <c r="G2785" t="e">
        <f t="shared" si="334"/>
        <v>#N/A</v>
      </c>
      <c r="H2785" t="e">
        <f t="shared" si="337"/>
        <v>#N/A</v>
      </c>
      <c r="I2785" t="e">
        <f t="shared" si="338"/>
        <v>#N/A</v>
      </c>
      <c r="J2785" t="e">
        <f t="shared" si="339"/>
        <v>#N/A</v>
      </c>
      <c r="K2785" t="e">
        <f t="shared" si="340"/>
        <v>#N/A</v>
      </c>
      <c r="T2785" t="str">
        <f t="shared" si="335"/>
        <v/>
      </c>
    </row>
    <row r="2786" spans="2:20" x14ac:dyDescent="0.55000000000000004">
      <c r="B2786" s="15" t="str">
        <f t="shared" si="336"/>
        <v>_5</v>
      </c>
      <c r="E2786">
        <v>2</v>
      </c>
      <c r="G2786" t="e">
        <f t="shared" si="334"/>
        <v>#N/A</v>
      </c>
      <c r="H2786" t="e">
        <f t="shared" si="337"/>
        <v>#N/A</v>
      </c>
      <c r="I2786" t="e">
        <f t="shared" si="338"/>
        <v>#N/A</v>
      </c>
      <c r="J2786" t="e">
        <f t="shared" si="339"/>
        <v>#N/A</v>
      </c>
      <c r="K2786" t="e">
        <f t="shared" si="340"/>
        <v>#N/A</v>
      </c>
      <c r="T2786" t="str">
        <f t="shared" si="335"/>
        <v/>
      </c>
    </row>
    <row r="2787" spans="2:20" x14ac:dyDescent="0.55000000000000004">
      <c r="B2787" s="15" t="str">
        <f t="shared" si="336"/>
        <v>_5</v>
      </c>
      <c r="E2787">
        <v>2</v>
      </c>
      <c r="G2787" t="e">
        <f t="shared" si="334"/>
        <v>#N/A</v>
      </c>
      <c r="H2787" t="e">
        <f t="shared" si="337"/>
        <v>#N/A</v>
      </c>
      <c r="I2787" t="e">
        <f t="shared" si="338"/>
        <v>#N/A</v>
      </c>
      <c r="J2787" t="e">
        <f t="shared" si="339"/>
        <v>#N/A</v>
      </c>
      <c r="K2787" t="e">
        <f t="shared" si="340"/>
        <v>#N/A</v>
      </c>
      <c r="T2787" t="str">
        <f t="shared" si="335"/>
        <v/>
      </c>
    </row>
    <row r="2788" spans="2:20" x14ac:dyDescent="0.55000000000000004">
      <c r="B2788" s="15" t="str">
        <f t="shared" si="336"/>
        <v>_5</v>
      </c>
      <c r="E2788">
        <v>2</v>
      </c>
      <c r="G2788" t="e">
        <f t="shared" si="334"/>
        <v>#N/A</v>
      </c>
      <c r="H2788" t="e">
        <f t="shared" si="337"/>
        <v>#N/A</v>
      </c>
      <c r="I2788" t="e">
        <f t="shared" si="338"/>
        <v>#N/A</v>
      </c>
      <c r="J2788" t="e">
        <f t="shared" si="339"/>
        <v>#N/A</v>
      </c>
      <c r="K2788" t="e">
        <f t="shared" si="340"/>
        <v>#N/A</v>
      </c>
      <c r="T2788" t="str">
        <f t="shared" si="335"/>
        <v/>
      </c>
    </row>
    <row r="2789" spans="2:20" x14ac:dyDescent="0.55000000000000004">
      <c r="B2789" s="15" t="str">
        <f t="shared" si="336"/>
        <v>_5</v>
      </c>
      <c r="E2789">
        <v>2</v>
      </c>
      <c r="G2789" t="e">
        <f t="shared" si="334"/>
        <v>#N/A</v>
      </c>
      <c r="H2789" t="e">
        <f t="shared" si="337"/>
        <v>#N/A</v>
      </c>
      <c r="I2789" t="e">
        <f t="shared" si="338"/>
        <v>#N/A</v>
      </c>
      <c r="J2789" t="e">
        <f t="shared" si="339"/>
        <v>#N/A</v>
      </c>
      <c r="K2789" t="e">
        <f t="shared" si="340"/>
        <v>#N/A</v>
      </c>
      <c r="T2789" t="str">
        <f t="shared" si="335"/>
        <v/>
      </c>
    </row>
    <row r="2790" spans="2:20" x14ac:dyDescent="0.55000000000000004">
      <c r="B2790" s="15" t="str">
        <f t="shared" si="336"/>
        <v>_5</v>
      </c>
      <c r="E2790">
        <v>2</v>
      </c>
      <c r="G2790" t="e">
        <f t="shared" si="334"/>
        <v>#N/A</v>
      </c>
      <c r="H2790" t="e">
        <f t="shared" si="337"/>
        <v>#N/A</v>
      </c>
      <c r="I2790" t="e">
        <f t="shared" si="338"/>
        <v>#N/A</v>
      </c>
      <c r="J2790" t="e">
        <f t="shared" si="339"/>
        <v>#N/A</v>
      </c>
      <c r="K2790" t="e">
        <f t="shared" si="340"/>
        <v>#N/A</v>
      </c>
      <c r="T2790" t="str">
        <f t="shared" si="335"/>
        <v/>
      </c>
    </row>
    <row r="2791" spans="2:20" x14ac:dyDescent="0.55000000000000004">
      <c r="B2791" s="15" t="str">
        <f t="shared" si="336"/>
        <v>_5</v>
      </c>
      <c r="E2791">
        <v>2</v>
      </c>
      <c r="G2791" t="e">
        <f t="shared" si="334"/>
        <v>#N/A</v>
      </c>
      <c r="H2791" t="e">
        <f t="shared" si="337"/>
        <v>#N/A</v>
      </c>
      <c r="I2791" t="e">
        <f t="shared" si="338"/>
        <v>#N/A</v>
      </c>
      <c r="J2791" t="e">
        <f t="shared" si="339"/>
        <v>#N/A</v>
      </c>
      <c r="K2791" t="e">
        <f t="shared" si="340"/>
        <v>#N/A</v>
      </c>
      <c r="T2791" t="str">
        <f t="shared" si="335"/>
        <v/>
      </c>
    </row>
    <row r="2792" spans="2:20" x14ac:dyDescent="0.55000000000000004">
      <c r="B2792" s="15" t="str">
        <f t="shared" si="336"/>
        <v>_5</v>
      </c>
      <c r="E2792">
        <v>2</v>
      </c>
      <c r="G2792" t="e">
        <f t="shared" si="334"/>
        <v>#N/A</v>
      </c>
      <c r="H2792" t="e">
        <f t="shared" si="337"/>
        <v>#N/A</v>
      </c>
      <c r="I2792" t="e">
        <f t="shared" si="338"/>
        <v>#N/A</v>
      </c>
      <c r="J2792" t="e">
        <f t="shared" si="339"/>
        <v>#N/A</v>
      </c>
      <c r="K2792" t="e">
        <f t="shared" si="340"/>
        <v>#N/A</v>
      </c>
      <c r="T2792" t="str">
        <f t="shared" si="335"/>
        <v/>
      </c>
    </row>
    <row r="2793" spans="2:20" x14ac:dyDescent="0.55000000000000004">
      <c r="B2793" s="15" t="str">
        <f t="shared" si="336"/>
        <v>_5</v>
      </c>
      <c r="E2793">
        <v>2</v>
      </c>
      <c r="G2793" t="e">
        <f t="shared" si="334"/>
        <v>#N/A</v>
      </c>
      <c r="H2793" t="e">
        <f t="shared" si="337"/>
        <v>#N/A</v>
      </c>
      <c r="I2793" t="e">
        <f t="shared" si="338"/>
        <v>#N/A</v>
      </c>
      <c r="J2793" t="e">
        <f t="shared" si="339"/>
        <v>#N/A</v>
      </c>
      <c r="K2793" t="e">
        <f t="shared" si="340"/>
        <v>#N/A</v>
      </c>
      <c r="T2793" t="str">
        <f t="shared" si="335"/>
        <v/>
      </c>
    </row>
    <row r="2794" spans="2:20" x14ac:dyDescent="0.55000000000000004">
      <c r="B2794" s="15" t="str">
        <f t="shared" si="336"/>
        <v>_5</v>
      </c>
      <c r="E2794">
        <v>2</v>
      </c>
      <c r="G2794" t="e">
        <f t="shared" si="334"/>
        <v>#N/A</v>
      </c>
      <c r="H2794" t="e">
        <f t="shared" si="337"/>
        <v>#N/A</v>
      </c>
      <c r="I2794" t="e">
        <f t="shared" si="338"/>
        <v>#N/A</v>
      </c>
      <c r="J2794" t="e">
        <f t="shared" si="339"/>
        <v>#N/A</v>
      </c>
      <c r="K2794" t="e">
        <f t="shared" si="340"/>
        <v>#N/A</v>
      </c>
      <c r="T2794" t="str">
        <f t="shared" si="335"/>
        <v/>
      </c>
    </row>
    <row r="2795" spans="2:20" x14ac:dyDescent="0.55000000000000004">
      <c r="B2795" s="15" t="str">
        <f t="shared" si="336"/>
        <v>_5</v>
      </c>
      <c r="E2795">
        <v>2</v>
      </c>
      <c r="G2795" t="e">
        <f t="shared" si="334"/>
        <v>#N/A</v>
      </c>
      <c r="H2795" t="e">
        <f t="shared" si="337"/>
        <v>#N/A</v>
      </c>
      <c r="I2795" t="e">
        <f t="shared" si="338"/>
        <v>#N/A</v>
      </c>
      <c r="J2795" t="e">
        <f t="shared" si="339"/>
        <v>#N/A</v>
      </c>
      <c r="K2795" t="e">
        <f t="shared" si="340"/>
        <v>#N/A</v>
      </c>
      <c r="T2795" t="str">
        <f t="shared" si="335"/>
        <v/>
      </c>
    </row>
    <row r="2796" spans="2:20" x14ac:dyDescent="0.55000000000000004">
      <c r="B2796" s="15" t="str">
        <f t="shared" si="336"/>
        <v>_5</v>
      </c>
      <c r="E2796">
        <v>2</v>
      </c>
      <c r="G2796" t="e">
        <f t="shared" si="334"/>
        <v>#N/A</v>
      </c>
      <c r="H2796" t="e">
        <f t="shared" si="337"/>
        <v>#N/A</v>
      </c>
      <c r="I2796" t="e">
        <f t="shared" si="338"/>
        <v>#N/A</v>
      </c>
      <c r="J2796" t="e">
        <f t="shared" si="339"/>
        <v>#N/A</v>
      </c>
      <c r="K2796" t="e">
        <f t="shared" si="340"/>
        <v>#N/A</v>
      </c>
      <c r="T2796" t="str">
        <f t="shared" si="335"/>
        <v/>
      </c>
    </row>
    <row r="2797" spans="2:20" x14ac:dyDescent="0.55000000000000004">
      <c r="B2797" s="15" t="str">
        <f t="shared" si="336"/>
        <v>_5</v>
      </c>
      <c r="E2797">
        <v>2</v>
      </c>
      <c r="G2797" t="e">
        <f t="shared" si="334"/>
        <v>#N/A</v>
      </c>
      <c r="H2797" t="e">
        <f t="shared" si="337"/>
        <v>#N/A</v>
      </c>
      <c r="I2797" t="e">
        <f t="shared" si="338"/>
        <v>#N/A</v>
      </c>
      <c r="J2797" t="e">
        <f t="shared" si="339"/>
        <v>#N/A</v>
      </c>
      <c r="K2797" t="e">
        <f t="shared" si="340"/>
        <v>#N/A</v>
      </c>
      <c r="T2797" t="str">
        <f t="shared" si="335"/>
        <v/>
      </c>
    </row>
    <row r="2798" spans="2:20" x14ac:dyDescent="0.55000000000000004">
      <c r="B2798" s="15" t="str">
        <f t="shared" si="336"/>
        <v>_5</v>
      </c>
      <c r="E2798">
        <v>2</v>
      </c>
      <c r="G2798" t="e">
        <f t="shared" si="334"/>
        <v>#N/A</v>
      </c>
      <c r="H2798" t="e">
        <f t="shared" si="337"/>
        <v>#N/A</v>
      </c>
      <c r="I2798" t="e">
        <f t="shared" si="338"/>
        <v>#N/A</v>
      </c>
      <c r="J2798" t="e">
        <f t="shared" si="339"/>
        <v>#N/A</v>
      </c>
      <c r="K2798" t="e">
        <f t="shared" si="340"/>
        <v>#N/A</v>
      </c>
      <c r="T2798" t="str">
        <f t="shared" si="335"/>
        <v/>
      </c>
    </row>
    <row r="2799" spans="2:20" x14ac:dyDescent="0.55000000000000004">
      <c r="B2799" s="15" t="str">
        <f t="shared" si="336"/>
        <v>_5</v>
      </c>
      <c r="E2799">
        <v>2</v>
      </c>
      <c r="G2799" t="e">
        <f t="shared" si="334"/>
        <v>#N/A</v>
      </c>
      <c r="H2799" t="e">
        <f t="shared" si="337"/>
        <v>#N/A</v>
      </c>
      <c r="I2799" t="e">
        <f t="shared" si="338"/>
        <v>#N/A</v>
      </c>
      <c r="J2799" t="e">
        <f t="shared" si="339"/>
        <v>#N/A</v>
      </c>
      <c r="K2799" t="e">
        <f t="shared" si="340"/>
        <v>#N/A</v>
      </c>
      <c r="T2799" t="str">
        <f t="shared" si="335"/>
        <v/>
      </c>
    </row>
    <row r="2800" spans="2:20" x14ac:dyDescent="0.55000000000000004">
      <c r="B2800" s="15" t="str">
        <f t="shared" si="336"/>
        <v>_5</v>
      </c>
      <c r="E2800">
        <v>2</v>
      </c>
      <c r="G2800" t="e">
        <f t="shared" si="334"/>
        <v>#N/A</v>
      </c>
      <c r="H2800" t="e">
        <f t="shared" si="337"/>
        <v>#N/A</v>
      </c>
      <c r="I2800" t="e">
        <f t="shared" si="338"/>
        <v>#N/A</v>
      </c>
      <c r="J2800" t="e">
        <f t="shared" si="339"/>
        <v>#N/A</v>
      </c>
      <c r="K2800" t="e">
        <f t="shared" si="340"/>
        <v>#N/A</v>
      </c>
      <c r="T2800" t="str">
        <f t="shared" si="335"/>
        <v/>
      </c>
    </row>
    <row r="2801" spans="2:20" x14ac:dyDescent="0.55000000000000004">
      <c r="B2801" s="15" t="str">
        <f t="shared" si="336"/>
        <v>_5</v>
      </c>
      <c r="E2801">
        <v>2</v>
      </c>
      <c r="G2801" t="e">
        <f t="shared" si="334"/>
        <v>#N/A</v>
      </c>
      <c r="H2801" t="e">
        <f t="shared" si="337"/>
        <v>#N/A</v>
      </c>
      <c r="I2801" t="e">
        <f t="shared" si="338"/>
        <v>#N/A</v>
      </c>
      <c r="J2801" t="e">
        <f t="shared" si="339"/>
        <v>#N/A</v>
      </c>
      <c r="K2801" t="e">
        <f t="shared" si="340"/>
        <v>#N/A</v>
      </c>
      <c r="T2801" t="str">
        <f t="shared" si="335"/>
        <v/>
      </c>
    </row>
    <row r="2802" spans="2:20" x14ac:dyDescent="0.55000000000000004">
      <c r="B2802" s="15" t="str">
        <f t="shared" si="336"/>
        <v>_5</v>
      </c>
      <c r="E2802">
        <v>2</v>
      </c>
      <c r="G2802" t="e">
        <f t="shared" si="334"/>
        <v>#N/A</v>
      </c>
      <c r="H2802" t="e">
        <f t="shared" si="337"/>
        <v>#N/A</v>
      </c>
      <c r="I2802" t="e">
        <f t="shared" si="338"/>
        <v>#N/A</v>
      </c>
      <c r="J2802" t="e">
        <f t="shared" si="339"/>
        <v>#N/A</v>
      </c>
      <c r="K2802" t="e">
        <f t="shared" si="340"/>
        <v>#N/A</v>
      </c>
      <c r="T2802" t="str">
        <f t="shared" si="335"/>
        <v/>
      </c>
    </row>
    <row r="2803" spans="2:20" x14ac:dyDescent="0.55000000000000004">
      <c r="B2803" s="15" t="str">
        <f t="shared" si="336"/>
        <v>_5</v>
      </c>
      <c r="E2803">
        <v>2</v>
      </c>
      <c r="G2803" t="e">
        <f t="shared" si="334"/>
        <v>#N/A</v>
      </c>
      <c r="H2803" t="e">
        <f t="shared" si="337"/>
        <v>#N/A</v>
      </c>
      <c r="I2803" t="e">
        <f t="shared" si="338"/>
        <v>#N/A</v>
      </c>
      <c r="J2803" t="e">
        <f t="shared" si="339"/>
        <v>#N/A</v>
      </c>
      <c r="K2803" t="e">
        <f t="shared" si="340"/>
        <v>#N/A</v>
      </c>
      <c r="T2803" t="str">
        <f t="shared" si="335"/>
        <v/>
      </c>
    </row>
    <row r="2804" spans="2:20" x14ac:dyDescent="0.55000000000000004">
      <c r="B2804" s="15" t="str">
        <f t="shared" si="336"/>
        <v>_5</v>
      </c>
      <c r="E2804">
        <v>2</v>
      </c>
      <c r="G2804" t="e">
        <f t="shared" si="334"/>
        <v>#N/A</v>
      </c>
      <c r="H2804" t="e">
        <f t="shared" si="337"/>
        <v>#N/A</v>
      </c>
      <c r="I2804" t="e">
        <f t="shared" si="338"/>
        <v>#N/A</v>
      </c>
      <c r="J2804" t="e">
        <f t="shared" si="339"/>
        <v>#N/A</v>
      </c>
      <c r="K2804" t="e">
        <f t="shared" si="340"/>
        <v>#N/A</v>
      </c>
      <c r="T2804" t="str">
        <f t="shared" si="335"/>
        <v/>
      </c>
    </row>
    <row r="2805" spans="2:20" x14ac:dyDescent="0.55000000000000004">
      <c r="B2805" s="15" t="str">
        <f t="shared" si="336"/>
        <v>_5</v>
      </c>
      <c r="E2805">
        <v>2</v>
      </c>
      <c r="G2805" t="e">
        <f t="shared" si="334"/>
        <v>#N/A</v>
      </c>
      <c r="H2805" t="e">
        <f t="shared" si="337"/>
        <v>#N/A</v>
      </c>
      <c r="I2805" t="e">
        <f t="shared" si="338"/>
        <v>#N/A</v>
      </c>
      <c r="J2805" t="e">
        <f t="shared" si="339"/>
        <v>#N/A</v>
      </c>
      <c r="K2805" t="e">
        <f t="shared" si="340"/>
        <v>#N/A</v>
      </c>
      <c r="T2805" t="str">
        <f t="shared" si="335"/>
        <v/>
      </c>
    </row>
  </sheetData>
  <phoneticPr fontId="3" type="noConversion"/>
  <dataValidations count="1">
    <dataValidation type="list" allowBlank="1" showInputMessage="1" showErrorMessage="1" sqref="F2:F2359 F2361:F2805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39"/>
  <sheetViews>
    <sheetView workbookViewId="0">
      <selection activeCell="H1" sqref="A1:H1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151</v>
      </c>
      <c r="E1" s="1" t="s">
        <v>89</v>
      </c>
      <c r="F1" s="1" t="s">
        <v>90</v>
      </c>
      <c r="G1" s="1" t="s">
        <v>155</v>
      </c>
      <c r="H1" s="1" t="s">
        <v>157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172</v>
      </c>
      <c r="E2" t="s">
        <v>216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172</v>
      </c>
      <c r="E3" t="s">
        <v>216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172</v>
      </c>
      <c r="E4" t="s">
        <v>216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166</v>
      </c>
      <c r="E5" t="s">
        <v>216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166</v>
      </c>
      <c r="E6" t="s">
        <v>216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172</v>
      </c>
      <c r="E7" t="s">
        <v>216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172</v>
      </c>
      <c r="E8" t="s">
        <v>216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166</v>
      </c>
      <c r="E9" t="s">
        <v>216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172</v>
      </c>
      <c r="E10" t="s">
        <v>216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166</v>
      </c>
      <c r="E11" t="s">
        <v>216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166</v>
      </c>
      <c r="E12" t="s">
        <v>216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172</v>
      </c>
      <c r="E13" t="s">
        <v>216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172</v>
      </c>
      <c r="E14" t="s">
        <v>216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166</v>
      </c>
      <c r="E15" t="s">
        <v>217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166</v>
      </c>
      <c r="E16" t="s">
        <v>216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166</v>
      </c>
      <c r="E17" t="s">
        <v>216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166</v>
      </c>
      <c r="E18" t="s">
        <v>216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172</v>
      </c>
      <c r="E19" t="s">
        <v>216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166</v>
      </c>
      <c r="E20" t="s">
        <v>216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172</v>
      </c>
      <c r="E21" t="s">
        <v>216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166</v>
      </c>
      <c r="E22" t="s">
        <v>216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166</v>
      </c>
      <c r="E23" t="s">
        <v>216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172</v>
      </c>
      <c r="E24" t="s">
        <v>218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166</v>
      </c>
      <c r="E25" t="s">
        <v>216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172</v>
      </c>
      <c r="E26" t="s">
        <v>216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166</v>
      </c>
      <c r="E27" t="s">
        <v>216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172</v>
      </c>
      <c r="E28" t="s">
        <v>216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166</v>
      </c>
      <c r="E29" t="s">
        <v>216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172</v>
      </c>
      <c r="E30" t="s">
        <v>216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166</v>
      </c>
      <c r="E31" t="s">
        <v>216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166</v>
      </c>
      <c r="E32" t="s">
        <v>217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172</v>
      </c>
      <c r="E33" t="s">
        <v>216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166</v>
      </c>
      <c r="E34" t="s">
        <v>216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172</v>
      </c>
      <c r="E35" t="s">
        <v>216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172</v>
      </c>
      <c r="E36" t="s">
        <v>216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166</v>
      </c>
      <c r="E37" t="s">
        <v>217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213</v>
      </c>
      <c r="D38" t="s">
        <v>172</v>
      </c>
      <c r="E38" t="s">
        <v>216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214</v>
      </c>
      <c r="D39" t="s">
        <v>166</v>
      </c>
      <c r="E39" t="s">
        <v>216</v>
      </c>
      <c r="H39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219</v>
      </c>
      <c r="B1" s="51" t="s">
        <v>220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s="7" customFormat="1" ht="15" thickTop="1" thickBot="1" x14ac:dyDescent="0.6">
      <c r="A2" s="3" t="s">
        <v>221</v>
      </c>
      <c r="B2" s="4" t="s">
        <v>222</v>
      </c>
      <c r="C2" s="5" t="s">
        <v>223</v>
      </c>
      <c r="D2" s="5" t="s">
        <v>224</v>
      </c>
      <c r="E2" s="5" t="s">
        <v>225</v>
      </c>
      <c r="F2" s="5" t="s">
        <v>226</v>
      </c>
      <c r="G2" s="5" t="s">
        <v>227</v>
      </c>
      <c r="H2" s="6" t="s">
        <v>228</v>
      </c>
      <c r="I2" s="4" t="s">
        <v>229</v>
      </c>
      <c r="J2" s="5" t="s">
        <v>138</v>
      </c>
      <c r="K2" s="5" t="s">
        <v>226</v>
      </c>
      <c r="L2" s="5" t="s">
        <v>227</v>
      </c>
      <c r="M2" s="6" t="s">
        <v>228</v>
      </c>
      <c r="N2" s="4" t="s">
        <v>229</v>
      </c>
      <c r="O2" s="5" t="s">
        <v>138</v>
      </c>
      <c r="P2" s="5" t="s">
        <v>226</v>
      </c>
      <c r="Q2" s="5" t="s">
        <v>227</v>
      </c>
      <c r="R2" s="6" t="s">
        <v>228</v>
      </c>
    </row>
    <row r="3" spans="1:18" ht="14.7" thickTop="1" x14ac:dyDescent="0.55000000000000004">
      <c r="A3" s="8" t="s">
        <v>230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231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232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233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234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235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H1" sqref="H1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0</v>
      </c>
      <c r="B1" s="1" t="s">
        <v>4</v>
      </c>
      <c r="C1" s="1" t="s">
        <v>262</v>
      </c>
      <c r="D1" s="1" t="s">
        <v>263</v>
      </c>
      <c r="E1" s="1" t="s">
        <v>264</v>
      </c>
      <c r="F1" s="1" t="s">
        <v>15</v>
      </c>
      <c r="G1" s="1" t="s">
        <v>265</v>
      </c>
      <c r="H1" s="1" t="s">
        <v>238</v>
      </c>
      <c r="I1" s="1" t="s">
        <v>239</v>
      </c>
      <c r="J1" s="1" t="s">
        <v>240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241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242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242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242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242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242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243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244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241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0"/>
  <sheetViews>
    <sheetView workbookViewId="0">
      <selection activeCell="I18" sqref="I18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236</v>
      </c>
      <c r="H1" s="1" t="s">
        <v>237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251</v>
      </c>
      <c r="H5" t="s">
        <v>252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253</v>
      </c>
    </row>
    <row r="11" spans="1:11" x14ac:dyDescent="0.55000000000000004">
      <c r="H11" t="s">
        <v>254</v>
      </c>
      <c r="I11" t="s">
        <v>255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236</v>
      </c>
      <c r="B15" t="s">
        <v>256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2026-07-20T02:54:46Z</dcterms:modified>
  <cp:category/>
  <cp:contentStatus/>
</cp:coreProperties>
</file>